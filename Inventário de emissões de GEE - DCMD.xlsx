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CMD" sheetId="1" state="visible" r:id="rId3"/>
    <sheet name="Planilha1" sheetId="2" state="visible" r:id="rId4"/>
    <sheet name="Centro" sheetId="3" state="visible" r:id="rId5"/>
    <sheet name="Norte" sheetId="4" state="visible" r:id="rId6"/>
    <sheet name="Su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Abastecimento moto poda, moto serra e tritutador.</t>
        </r>
      </text>
    </comment>
    <comment ref="O1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Abastecimento moto poda, moto serra e tritutador.</t>
        </r>
      </text>
    </comment>
    <comment ref="P1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Abastecimento moto poda, moto serra e tritutador.</t>
        </r>
      </text>
    </comment>
    <comment ref="Q1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Abastecimento moto poda, moto serra e tritutador.</t>
        </r>
      </text>
    </comment>
  </commentList>
</comments>
</file>

<file path=xl/sharedStrings.xml><?xml version="1.0" encoding="utf-8"?>
<sst xmlns="http://schemas.openxmlformats.org/spreadsheetml/2006/main" count="215" uniqueCount="48">
  <si>
    <t xml:space="preserve">ÁREA</t>
  </si>
  <si>
    <t xml:space="preserve">INDICADOR</t>
  </si>
  <si>
    <t xml:space="preserve">OBSERVAÇÕES</t>
  </si>
  <si>
    <t xml:space="preserve">PREMISSA (COEP)</t>
  </si>
  <si>
    <t xml:space="preserve">UNIDADE</t>
  </si>
  <si>
    <t xml:space="preserve">DCMD</t>
  </si>
  <si>
    <t xml:space="preserve">Quantidade de material lenhoso gerado em processo de poda destinado para aterro sanitário</t>
  </si>
  <si>
    <t xml:space="preserve">kg</t>
  </si>
  <si>
    <t xml:space="preserve">Quantidade de material lenhoso gerado em processo de poda destinado para compostagem</t>
  </si>
  <si>
    <t xml:space="preserve">Material triturado pelo caminhão</t>
  </si>
  <si>
    <t xml:space="preserve">Área de vegetação suprimida do bioma Cerrado em processo de manutenção de faixa</t>
  </si>
  <si>
    <t xml:space="preserve">KM² de faixa realizada - bioma da localidade com base no IBGE</t>
  </si>
  <si>
    <t xml:space="preserve">ha</t>
  </si>
  <si>
    <t xml:space="preserve">Área de vegetação suprimida do bioma Cerrado em processo de novas obras</t>
  </si>
  <si>
    <t xml:space="preserve">Área de vegetação suprimida do bioma Amazônia em processo de manutenção de faixa</t>
  </si>
  <si>
    <t xml:space="preserve">Área de vegetação suprimida do bioma Amazônia em processo de novas obras</t>
  </si>
  <si>
    <t xml:space="preserve">Volume de gasolina consumida em motopodas e motosserras (pagamento não realizado com cartão de abastecimento)</t>
  </si>
  <si>
    <t xml:space="preserve">Apenas os abastecimentos que não foram feitos pelo Ticktet Log</t>
  </si>
  <si>
    <t xml:space="preserve">¹Compra feita com requisição - OU - ²Média de consumo de gasolina</t>
  </si>
  <si>
    <t xml:space="preserve">L</t>
  </si>
  <si>
    <t xml:space="preserve">Volume de óleo 2 tempos consumido em motopodas e motosserras (pagamento não realizado com cartão de abastecimento)</t>
  </si>
  <si>
    <t xml:space="preserve">Volume de gasolina comprada pela empresa contratada consumida em motopodas e motosserras</t>
  </si>
  <si>
    <t xml:space="preserve">Buscar dados com empresa Terceiras que realizam este serviço</t>
  </si>
  <si>
    <t xml:space="preserve">Média de consumo</t>
  </si>
  <si>
    <t xml:space="preserve">Volume de óleo 2 tempos comprada pela empresa contratada consumida em motopodas e motosserras</t>
  </si>
  <si>
    <t xml:space="preserve">Volume de gasolina consumida em transporte e distribuição contratado (pagamento realizado por terceiros)</t>
  </si>
  <si>
    <t xml:space="preserve">Empreiteiras</t>
  </si>
  <si>
    <t xml:space="preserve">Solicitar controle das empreiteiras - expurgar consumo motosserra e motopoda</t>
  </si>
  <si>
    <t xml:space="preserve">Volume de diesel consumido em transporte e distribuição contratado (pagamento realizado por terceiros)</t>
  </si>
  <si>
    <t xml:space="preserve">Solicitar controle das empreiteiras</t>
  </si>
  <si>
    <t xml:space="preserve">Volume de etanol consumido em transporte e distribuição contratado (pagamento realizado por terceiros)</t>
  </si>
  <si>
    <t xml:space="preserve">Consolidado</t>
  </si>
  <si>
    <t xml:space="preserve">Dolp</t>
  </si>
  <si>
    <t xml:space="preserve">DG</t>
  </si>
  <si>
    <t xml:space="preserve">DB</t>
  </si>
  <si>
    <t xml:space="preserve">J&amp;G</t>
  </si>
  <si>
    <t xml:space="preserve">ENERGISA</t>
  </si>
  <si>
    <t xml:space="preserve">ENDISA ENGENHARIA E AGRONEGOCIO LTDA</t>
  </si>
  <si>
    <t xml:space="preserve">Empresa</t>
  </si>
  <si>
    <t xml:space="preserve">PAULO CEZARIO XAVIER LTDA</t>
  </si>
  <si>
    <t xml:space="preserve">D. B. MACHADO LTDA</t>
  </si>
  <si>
    <t xml:space="preserve">ENECOL CONSTRUCAO ENGENHARIA E MANUTENCA</t>
  </si>
  <si>
    <t xml:space="preserve">DB Machado</t>
  </si>
  <si>
    <t xml:space="preserve">EP Alves</t>
  </si>
  <si>
    <t xml:space="preserve">EDL LIMPEZA E MANUTENCAO LTDA</t>
  </si>
  <si>
    <t xml:space="preserve">WC CONSTRUTORA LTDA</t>
  </si>
  <si>
    <t xml:space="preserve">TAVARES ENGENHARIA LTDA</t>
  </si>
  <si>
    <t xml:space="preserve">SW CONSTRUTORA LTDA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</si>
</sst>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0"/>
    <numFmt numFmtId="167" formatCode="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242424"/>
      <name val="FluentSystemIcons"/>
      <family val="0"/>
      <charset val="1"/>
    </font>
    <font>
      <b val="true"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2"/>
      <color rgb="FF242424"/>
      <name val="Aptos"/>
      <family val="2"/>
      <charset val="1"/>
    </font>
    <font>
      <sz val="10"/>
      <name val="Arial"/>
      <family val="2"/>
    </font>
    <font>
      <sz val="11"/>
      <color rgb="FF000000"/>
      <name val="Aptos Narro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1" tint="0.2499"/>
        <bgColor rgb="FF3B3838"/>
      </patternFill>
    </fill>
    <fill>
      <patternFill patternType="solid">
        <fgColor theme="9" tint="-0.5"/>
        <bgColor rgb="FF404040"/>
      </patternFill>
    </fill>
    <fill>
      <patternFill patternType="solid">
        <fgColor theme="2" tint="-0.75"/>
        <bgColor rgb="FF40404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385724"/>
      <rgbColor rgb="FF242424"/>
      <rgbColor rgb="FF993300"/>
      <rgbColor rgb="FF993366"/>
      <rgbColor rgb="FF404040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R18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44.85"/>
    <col collapsed="false" customWidth="true" hidden="false" outlineLevel="0" max="5" min="4" style="1" width="35.43"/>
    <col collapsed="false" customWidth="true" hidden="false" outlineLevel="0" max="6" min="6" style="0" width="9.29"/>
    <col collapsed="false" customWidth="true" hidden="false" outlineLevel="0" max="12" min="7" style="0" width="9.71"/>
    <col collapsed="false" customWidth="true" hidden="false" outlineLevel="0" max="18" min="13" style="0" width="13"/>
  </cols>
  <sheetData>
    <row r="3" customFormat="false" ht="18.75" hidden="false" customHeight="true" outlineLevel="0" collapsed="false">
      <c r="B3" s="2"/>
    </row>
    <row r="4" customFormat="false" ht="32.25" hidden="false" customHeight="true" outlineLevel="0" collapsed="false">
      <c r="B4" s="3" t="s">
        <v>0</v>
      </c>
      <c r="C4" s="4" t="s">
        <v>1</v>
      </c>
      <c r="D4" s="4" t="s">
        <v>2</v>
      </c>
      <c r="E4" s="4" t="s">
        <v>3</v>
      </c>
      <c r="F4" s="3" t="s">
        <v>4</v>
      </c>
      <c r="G4" s="5" t="n">
        <v>46023</v>
      </c>
      <c r="H4" s="5" t="n">
        <v>46054</v>
      </c>
      <c r="I4" s="5" t="n">
        <v>46082</v>
      </c>
      <c r="J4" s="5" t="n">
        <v>46113</v>
      </c>
      <c r="K4" s="5" t="n">
        <v>46143</v>
      </c>
      <c r="L4" s="5" t="n">
        <v>46174</v>
      </c>
      <c r="M4" s="5" t="n">
        <v>46204</v>
      </c>
      <c r="N4" s="5" t="n">
        <v>46235</v>
      </c>
      <c r="O4" s="5" t="n">
        <v>46266</v>
      </c>
      <c r="P4" s="5" t="n">
        <v>46296</v>
      </c>
      <c r="Q4" s="5" t="n">
        <v>46327</v>
      </c>
      <c r="R4" s="5" t="n">
        <v>46357</v>
      </c>
    </row>
    <row r="5" customFormat="false" ht="45" hidden="false" customHeight="true" outlineLevel="0" collapsed="false">
      <c r="B5" s="6" t="s">
        <v>5</v>
      </c>
      <c r="C5" s="7" t="s">
        <v>6</v>
      </c>
      <c r="D5" s="8"/>
      <c r="E5" s="8"/>
      <c r="F5" s="6" t="s">
        <v>7</v>
      </c>
      <c r="G5" s="9" t="n">
        <f aca="false">Centro!G5+Norte!F5+Sul!G5</f>
        <v>0</v>
      </c>
      <c r="H5" s="9" t="n">
        <f aca="false">Centro!H5+Norte!G5+Sul!H5</f>
        <v>0</v>
      </c>
      <c r="I5" s="9" t="n">
        <f aca="false">Centro!I5+Norte!H5+Sul!I5</f>
        <v>0</v>
      </c>
      <c r="J5" s="9" t="n">
        <f aca="false">Centro!J5+Norte!I5+Sul!J5</f>
        <v>0</v>
      </c>
      <c r="K5" s="9" t="n">
        <f aca="false">Centro!K5+Norte!J5+Sul!K5</f>
        <v>0</v>
      </c>
      <c r="L5" s="9" t="n">
        <f aca="false">Centro!L5+Norte!K5+Sul!L5</f>
        <v>0</v>
      </c>
      <c r="M5" s="9" t="n">
        <f aca="false">Centro!M5+Norte!L5+Sul!M5</f>
        <v>0</v>
      </c>
      <c r="N5" s="9" t="n">
        <f aca="false">Centro!N5+Norte!M5+Sul!N5</f>
        <v>0</v>
      </c>
      <c r="O5" s="9" t="n">
        <f aca="false">Centro!O5+Norte!N5+Sul!O5</f>
        <v>0</v>
      </c>
      <c r="P5" s="9" t="n">
        <f aca="false">Centro!P5+Norte!O5+Sul!P5</f>
        <v>0</v>
      </c>
      <c r="Q5" s="9" t="n">
        <f aca="false">Centro!Q5+Norte!P5+Sul!Q5</f>
        <v>0</v>
      </c>
      <c r="R5" s="9" t="n">
        <f aca="false">Centro!R5+Norte!Q5+Sul!R5</f>
        <v>0</v>
      </c>
    </row>
    <row r="6" customFormat="false" ht="30" hidden="false" customHeight="true" outlineLevel="0" collapsed="false">
      <c r="B6" s="6"/>
      <c r="C6" s="7" t="s">
        <v>8</v>
      </c>
      <c r="D6" s="8"/>
      <c r="E6" s="8" t="s">
        <v>9</v>
      </c>
      <c r="F6" s="6" t="s">
        <v>7</v>
      </c>
      <c r="G6" s="9" t="n">
        <f aca="false">Centro!G6+Norte!F6+Sul!G6</f>
        <v>305340</v>
      </c>
      <c r="H6" s="9" t="n">
        <f aca="false">Centro!H6+Norte!G6+Sul!H6</f>
        <v>249795</v>
      </c>
      <c r="I6" s="9" t="n">
        <f aca="false">Centro!I6+Norte!H6+Sul!I6</f>
        <v>306180</v>
      </c>
      <c r="J6" s="9" t="n">
        <f aca="false">Centro!J6+Norte!I6+Sul!J6</f>
        <v>338730</v>
      </c>
      <c r="K6" s="9" t="n">
        <f aca="false">Centro!K6+Norte!J6+Sul!K6</f>
        <v>395955</v>
      </c>
      <c r="L6" s="9" t="n">
        <f aca="false">Centro!L6+Norte!K6+Sul!L6</f>
        <v>307230</v>
      </c>
      <c r="M6" s="9" t="n">
        <f aca="false">Centro!M6+Norte!L6+Sul!M6</f>
        <v>0</v>
      </c>
      <c r="N6" s="9" t="n">
        <f aca="false">Centro!N6+Norte!M6+Sul!N6</f>
        <v>0</v>
      </c>
      <c r="O6" s="9" t="n">
        <f aca="false">Centro!O6+Norte!N6+Sul!O6</f>
        <v>0</v>
      </c>
      <c r="P6" s="9" t="n">
        <f aca="false">Centro!P6+Norte!O6+Sul!P6</f>
        <v>0</v>
      </c>
      <c r="Q6" s="9" t="n">
        <f aca="false">Centro!Q6+Norte!P6+Sul!Q6</f>
        <v>0</v>
      </c>
      <c r="R6" s="9" t="n">
        <f aca="false">Centro!R6+Norte!Q6+Sul!R6</f>
        <v>0</v>
      </c>
    </row>
    <row r="7" customFormat="false" ht="30" hidden="false" customHeight="true" outlineLevel="0" collapsed="false">
      <c r="B7" s="6"/>
      <c r="C7" s="8" t="s">
        <v>10</v>
      </c>
      <c r="D7" s="8"/>
      <c r="E7" s="8" t="s">
        <v>11</v>
      </c>
      <c r="F7" s="6" t="s">
        <v>12</v>
      </c>
      <c r="G7" s="10" t="n">
        <f aca="false">Centro!G7+Norte!F7+Sul!G7</f>
        <v>234.333</v>
      </c>
      <c r="H7" s="10" t="n">
        <f aca="false">Centro!H7+Norte!G7+Sul!H7</f>
        <v>245.2</v>
      </c>
      <c r="I7" s="10" t="n">
        <f aca="false">Centro!I7+Norte!H7+Sul!I7</f>
        <v>230.656</v>
      </c>
      <c r="J7" s="10" t="n">
        <f aca="false">Centro!J7+Norte!I7+Sul!J7</f>
        <v>448.582</v>
      </c>
      <c r="K7" s="10" t="n">
        <f aca="false">Centro!K7+Norte!J7+Sul!K7</f>
        <v>559.33</v>
      </c>
      <c r="L7" s="10" t="n">
        <f aca="false">Centro!L7+Norte!K7+Sul!L7</f>
        <v>822.771</v>
      </c>
      <c r="M7" s="10" t="n">
        <f aca="false">Centro!M7+Norte!L7+Sul!M7</f>
        <v>0</v>
      </c>
      <c r="N7" s="10" t="n">
        <f aca="false">Centro!N7+Norte!M7+Sul!N7</f>
        <v>0</v>
      </c>
      <c r="O7" s="10" t="n">
        <f aca="false">Centro!O7+Norte!N7+Sul!O7</f>
        <v>0</v>
      </c>
      <c r="P7" s="10" t="n">
        <f aca="false">Centro!P7+Norte!O7+Sul!P7</f>
        <v>0</v>
      </c>
      <c r="Q7" s="10" t="n">
        <f aca="false">Centro!Q7+Norte!P7+Sul!Q7</f>
        <v>0</v>
      </c>
      <c r="R7" s="10" t="n">
        <f aca="false">Centro!R7+Norte!Q7+Sul!R7</f>
        <v>0</v>
      </c>
    </row>
    <row r="8" customFormat="false" ht="30" hidden="false" customHeight="true" outlineLevel="0" collapsed="false">
      <c r="B8" s="6"/>
      <c r="C8" s="8" t="s">
        <v>13</v>
      </c>
      <c r="D8" s="8"/>
      <c r="E8" s="8"/>
      <c r="F8" s="6" t="s">
        <v>12</v>
      </c>
      <c r="G8" s="10" t="n">
        <v>111.16</v>
      </c>
      <c r="H8" s="10" t="n">
        <v>80.7</v>
      </c>
      <c r="I8" s="10" t="n">
        <v>109.87</v>
      </c>
      <c r="J8" s="10" t="n">
        <v>107.3</v>
      </c>
      <c r="K8" s="10" t="n">
        <v>86.59</v>
      </c>
      <c r="L8" s="10" t="n">
        <v>56.71</v>
      </c>
      <c r="M8" s="10"/>
      <c r="N8" s="10"/>
      <c r="O8" s="10"/>
      <c r="P8" s="10"/>
      <c r="Q8" s="10"/>
      <c r="R8" s="10"/>
    </row>
    <row r="9" customFormat="false" ht="30" hidden="false" customHeight="true" outlineLevel="0" collapsed="false">
      <c r="B9" s="6"/>
      <c r="C9" s="7" t="s">
        <v>14</v>
      </c>
      <c r="D9" s="8"/>
      <c r="E9" s="8" t="s">
        <v>11</v>
      </c>
      <c r="F9" s="6" t="s">
        <v>12</v>
      </c>
      <c r="G9" s="10" t="n">
        <f aca="false">Centro!G9+Norte!F9+Sul!G9</f>
        <v>63</v>
      </c>
      <c r="H9" s="10" t="n">
        <f aca="false">Centro!H9+Norte!G9+Sul!H9</f>
        <v>74.3</v>
      </c>
      <c r="I9" s="10" t="n">
        <f aca="false">Centro!I9+Norte!H9+Sul!I9</f>
        <v>56</v>
      </c>
      <c r="J9" s="10" t="n">
        <f aca="false">Centro!J9+Norte!I9+Sul!J9</f>
        <v>79.933</v>
      </c>
      <c r="K9" s="10" t="n">
        <f aca="false">Centro!K9+Norte!J9+Sul!K9</f>
        <v>0</v>
      </c>
      <c r="L9" s="10" t="n">
        <f aca="false">Centro!L9+Norte!K9+Sul!L9</f>
        <v>97.333</v>
      </c>
      <c r="M9" s="10" t="n">
        <f aca="false">Centro!M9+Norte!L9+Sul!M9</f>
        <v>0</v>
      </c>
      <c r="N9" s="10" t="n">
        <f aca="false">Centro!N9+Norte!M9+Sul!N9</f>
        <v>0</v>
      </c>
      <c r="O9" s="10" t="n">
        <f aca="false">Centro!O9+Norte!N9+Sul!O9</f>
        <v>0</v>
      </c>
      <c r="P9" s="10" t="n">
        <f aca="false">Centro!P9+Norte!O9+Sul!P9</f>
        <v>0</v>
      </c>
      <c r="Q9" s="10" t="n">
        <f aca="false">Centro!Q9+Norte!P9+Sul!Q9</f>
        <v>0</v>
      </c>
      <c r="R9" s="10" t="n">
        <f aca="false">Centro!R9+Norte!Q9+Sul!R9</f>
        <v>0</v>
      </c>
    </row>
    <row r="10" customFormat="false" ht="30" hidden="false" customHeight="true" outlineLevel="0" collapsed="false">
      <c r="B10" s="6"/>
      <c r="C10" s="7" t="s">
        <v>15</v>
      </c>
      <c r="D10" s="8"/>
      <c r="E10" s="8"/>
      <c r="F10" s="6" t="s">
        <v>12</v>
      </c>
      <c r="G10" s="10" t="n">
        <v>10.95</v>
      </c>
      <c r="H10" s="10" t="n">
        <v>1.29</v>
      </c>
      <c r="I10" s="10" t="n">
        <v>17.37</v>
      </c>
      <c r="J10" s="10" t="n">
        <v>20.3</v>
      </c>
      <c r="K10" s="10" t="n">
        <v>7.49</v>
      </c>
      <c r="L10" s="10" t="n">
        <v>8.31</v>
      </c>
      <c r="M10" s="10"/>
      <c r="N10" s="10"/>
      <c r="O10" s="10"/>
      <c r="P10" s="10"/>
      <c r="Q10" s="10"/>
      <c r="R10" s="10"/>
    </row>
    <row r="11" customFormat="false" ht="45" hidden="false" customHeight="true" outlineLevel="0" collapsed="false">
      <c r="B11" s="6"/>
      <c r="C11" s="8" t="s">
        <v>16</v>
      </c>
      <c r="D11" s="11" t="s">
        <v>17</v>
      </c>
      <c r="E11" s="11" t="s">
        <v>18</v>
      </c>
      <c r="F11" s="6" t="s">
        <v>19</v>
      </c>
      <c r="G11" s="9" t="n">
        <f aca="false">Centro!G11+Norte!F11+Sul!G11</f>
        <v>426.655</v>
      </c>
      <c r="H11" s="9" t="n">
        <f aca="false">Centro!H11+Norte!G11+Sul!H11</f>
        <v>303.519</v>
      </c>
      <c r="I11" s="9" t="n">
        <f aca="false">Centro!I11+Norte!H11+Sul!I11</f>
        <v>618.711</v>
      </c>
      <c r="J11" s="9" t="n">
        <f aca="false">Centro!J11+Norte!I11+Sul!J11</f>
        <v>649.244</v>
      </c>
      <c r="K11" s="9" t="n">
        <f aca="false">Centro!K11+Norte!J11+Sul!K11</f>
        <v>579.15</v>
      </c>
      <c r="L11" s="9" t="n">
        <f aca="false">Centro!L11+Norte!K11+Sul!L11</f>
        <v>332.347</v>
      </c>
      <c r="M11" s="9" t="n">
        <f aca="false">Centro!M11+Norte!L11+Sul!M11</f>
        <v>0</v>
      </c>
      <c r="N11" s="9" t="n">
        <f aca="false">Centro!N11+Norte!M11+Sul!N11</f>
        <v>0</v>
      </c>
      <c r="O11" s="9" t="n">
        <f aca="false">Centro!O11+Norte!N11+Sul!O11</f>
        <v>0</v>
      </c>
      <c r="P11" s="9" t="n">
        <f aca="false">Centro!P11+Norte!O11+Sul!P11</f>
        <v>0</v>
      </c>
      <c r="Q11" s="9" t="n">
        <f aca="false">Centro!Q11+Norte!P11+Sul!Q11</f>
        <v>0</v>
      </c>
      <c r="R11" s="9" t="n">
        <f aca="false">Centro!R11+Norte!Q11+Sul!R11</f>
        <v>0</v>
      </c>
    </row>
    <row r="12" customFormat="false" ht="45" hidden="false" customHeight="true" outlineLevel="0" collapsed="false">
      <c r="B12" s="6"/>
      <c r="C12" s="8" t="s">
        <v>20</v>
      </c>
      <c r="D12" s="11"/>
      <c r="E12" s="11" t="s">
        <v>18</v>
      </c>
      <c r="F12" s="6" t="s">
        <v>19</v>
      </c>
      <c r="G12" s="9" t="n">
        <f aca="false">Centro!G12+Norte!F12+Sul!G12</f>
        <v>38</v>
      </c>
      <c r="H12" s="9" t="n">
        <f aca="false">Centro!H12+Norte!G12+Sul!H12</f>
        <v>39</v>
      </c>
      <c r="I12" s="9" t="n">
        <f aca="false">Centro!I12+Norte!H12+Sul!I12</f>
        <v>39.5</v>
      </c>
      <c r="J12" s="9" t="n">
        <f aca="false">Centro!J12+Norte!I12+Sul!J12</f>
        <v>45</v>
      </c>
      <c r="K12" s="9" t="n">
        <f aca="false">Centro!K12+Norte!J12+Sul!K12</f>
        <v>37</v>
      </c>
      <c r="L12" s="9" t="n">
        <f aca="false">Centro!L12+Norte!K12+Sul!L12</f>
        <v>31.5</v>
      </c>
      <c r="M12" s="9" t="n">
        <f aca="false">Centro!M12+Norte!L12+Sul!M12</f>
        <v>0</v>
      </c>
      <c r="N12" s="9" t="n">
        <f aca="false">Centro!N12+Norte!M12+Sul!N12</f>
        <v>0</v>
      </c>
      <c r="O12" s="9" t="n">
        <f aca="false">Centro!O12+Norte!N12+Sul!O12</f>
        <v>0</v>
      </c>
      <c r="P12" s="9" t="n">
        <f aca="false">Centro!P12+Norte!O12+Sul!P12</f>
        <v>0</v>
      </c>
      <c r="Q12" s="9" t="n">
        <f aca="false">Centro!Q12+Norte!P12+Sul!Q12</f>
        <v>0</v>
      </c>
      <c r="R12" s="9" t="n">
        <f aca="false">Centro!R12+Norte!Q12+Sul!R12</f>
        <v>0</v>
      </c>
    </row>
    <row r="13" customFormat="false" ht="45" hidden="false" customHeight="true" outlineLevel="0" collapsed="false">
      <c r="B13" s="6"/>
      <c r="C13" s="8" t="s">
        <v>21</v>
      </c>
      <c r="D13" s="11" t="s">
        <v>22</v>
      </c>
      <c r="E13" s="11" t="s">
        <v>23</v>
      </c>
      <c r="F13" s="6" t="s">
        <v>19</v>
      </c>
      <c r="G13" s="9" t="n">
        <f aca="false">Centro!G13+Norte!F13+Sul!G13</f>
        <v>546.055</v>
      </c>
      <c r="H13" s="9" t="n">
        <f aca="false">Centro!H13+Norte!G13+Sul!H13</f>
        <v>501.129</v>
      </c>
      <c r="I13" s="9" t="n">
        <f aca="false">Centro!I13+Norte!H13+Sul!I13</f>
        <v>750.341</v>
      </c>
      <c r="J13" s="9" t="n">
        <f aca="false">Centro!J13+Norte!I13+Sul!J13</f>
        <v>758.134</v>
      </c>
      <c r="K13" s="9" t="n">
        <f aca="false">Centro!K13+Norte!J13+Sul!K13</f>
        <v>729.46</v>
      </c>
      <c r="L13" s="9" t="n">
        <f aca="false">Centro!L13+Norte!K13+Sul!L13</f>
        <v>512.657</v>
      </c>
      <c r="M13" s="9" t="n">
        <f aca="false">Centro!M13+Norte!L13+Sul!M13</f>
        <v>0</v>
      </c>
      <c r="N13" s="9" t="n">
        <f aca="false">Centro!N13+Norte!M13+Sul!N13</f>
        <v>0</v>
      </c>
      <c r="O13" s="9" t="n">
        <f aca="false">Centro!O13+Norte!N13+Sul!O13</f>
        <v>0</v>
      </c>
      <c r="P13" s="9" t="n">
        <f aca="false">Centro!P13+Norte!O13+Sul!P13</f>
        <v>0</v>
      </c>
      <c r="Q13" s="9" t="n">
        <f aca="false">Centro!Q13+Norte!P13+Sul!Q13</f>
        <v>0</v>
      </c>
      <c r="R13" s="9" t="n">
        <f aca="false">Centro!R13+Norte!Q13+Sul!R13</f>
        <v>0</v>
      </c>
    </row>
    <row r="14" customFormat="false" ht="45" hidden="false" customHeight="true" outlineLevel="0" collapsed="false">
      <c r="B14" s="6"/>
      <c r="C14" s="8" t="s">
        <v>24</v>
      </c>
      <c r="D14" s="11"/>
      <c r="E14" s="11" t="s">
        <v>23</v>
      </c>
      <c r="F14" s="6" t="s">
        <v>19</v>
      </c>
      <c r="G14" s="9" t="n">
        <f aca="false">Centro!G14+Norte!F14+Sul!G14</f>
        <v>50.5</v>
      </c>
      <c r="H14" s="9" t="n">
        <f aca="false">Centro!H14+Norte!G14+Sul!H14</f>
        <v>54.5</v>
      </c>
      <c r="I14" s="9" t="n">
        <f aca="false">Centro!I14+Norte!H14+Sul!I14</f>
        <v>49</v>
      </c>
      <c r="J14" s="9" t="n">
        <f aca="false">Centro!J14+Norte!I14+Sul!J14</f>
        <v>56.5</v>
      </c>
      <c r="K14" s="9" t="n">
        <f aca="false">Centro!K14+Norte!J14+Sul!K14</f>
        <v>51.5</v>
      </c>
      <c r="L14" s="9" t="n">
        <f aca="false">Centro!L14+Norte!K14+Sul!L14</f>
        <v>47</v>
      </c>
      <c r="M14" s="9" t="n">
        <f aca="false">Centro!M14+Norte!L14+Sul!M14</f>
        <v>0</v>
      </c>
      <c r="N14" s="9" t="n">
        <f aca="false">Centro!N14+Norte!M14+Sul!N14</f>
        <v>0</v>
      </c>
      <c r="O14" s="9" t="n">
        <f aca="false">Centro!O14+Norte!N14+Sul!O14</f>
        <v>0</v>
      </c>
      <c r="P14" s="9" t="n">
        <f aca="false">Centro!P14+Norte!O14+Sul!P14</f>
        <v>0</v>
      </c>
      <c r="Q14" s="9" t="n">
        <f aca="false">Centro!Q14+Norte!P14+Sul!Q14</f>
        <v>0</v>
      </c>
      <c r="R14" s="9" t="n">
        <f aca="false">Centro!R14+Norte!Q14+Sul!R14</f>
        <v>0</v>
      </c>
    </row>
    <row r="15" customFormat="false" ht="45" hidden="false" customHeight="true" outlineLevel="0" collapsed="false">
      <c r="B15" s="6"/>
      <c r="C15" s="8" t="s">
        <v>25</v>
      </c>
      <c r="D15" s="11" t="s">
        <v>26</v>
      </c>
      <c r="E15" s="11" t="s">
        <v>27</v>
      </c>
      <c r="F15" s="6" t="s">
        <v>19</v>
      </c>
      <c r="G15" s="9" t="n">
        <f aca="false">Centro!G15+Norte!F15+Sul!G15</f>
        <v>4433.175</v>
      </c>
      <c r="H15" s="9" t="n">
        <f aca="false">Centro!H15+Norte!G15+Sul!H15</f>
        <v>5528.195</v>
      </c>
      <c r="I15" s="9" t="n">
        <f aca="false">Centro!I15+Norte!H15+Sul!I15</f>
        <v>4550.521</v>
      </c>
      <c r="J15" s="9" t="n">
        <f aca="false">Centro!J15+Norte!I15+Sul!J15</f>
        <v>4687.215</v>
      </c>
      <c r="K15" s="9" t="n">
        <f aca="false">Centro!K15+Norte!J15+Sul!K15</f>
        <v>4794.548</v>
      </c>
      <c r="L15" s="9" t="n">
        <f aca="false">Centro!L15+Norte!K15+Sul!L15</f>
        <v>4944.143</v>
      </c>
      <c r="M15" s="9" t="n">
        <f aca="false">Centro!M15+Norte!L15+Sul!M15</f>
        <v>0</v>
      </c>
      <c r="N15" s="9" t="n">
        <f aca="false">Centro!N15+Norte!M15+Sul!N15</f>
        <v>0</v>
      </c>
      <c r="O15" s="9" t="n">
        <f aca="false">Centro!O15+Norte!N15+Sul!O15</f>
        <v>0</v>
      </c>
      <c r="P15" s="9" t="n">
        <f aca="false">Centro!P15+Norte!O15+Sul!P15</f>
        <v>0</v>
      </c>
      <c r="Q15" s="9" t="n">
        <f aca="false">Centro!Q15+Norte!P15+Sul!Q15</f>
        <v>0</v>
      </c>
      <c r="R15" s="9" t="n">
        <f aca="false">Centro!R15+Norte!Q15+Sul!R15</f>
        <v>0</v>
      </c>
    </row>
    <row r="16" customFormat="false" ht="45" hidden="false" customHeight="true" outlineLevel="0" collapsed="false">
      <c r="B16" s="6"/>
      <c r="C16" s="8" t="s">
        <v>28</v>
      </c>
      <c r="D16" s="11"/>
      <c r="E16" s="11" t="s">
        <v>29</v>
      </c>
      <c r="F16" s="6" t="s">
        <v>19</v>
      </c>
      <c r="G16" s="9" t="n">
        <f aca="false">Centro!G16+Norte!F16+Sul!G16</f>
        <v>65589.991</v>
      </c>
      <c r="H16" s="9" t="n">
        <f aca="false">Centro!H16+Norte!G16+Sul!H16</f>
        <v>68357.012</v>
      </c>
      <c r="I16" s="9" t="n">
        <f aca="false">Centro!I16+Norte!H16+Sul!I16</f>
        <v>72950.343</v>
      </c>
      <c r="J16" s="9" t="n">
        <f aca="false">Centro!J16+Norte!I16+Sul!J16</f>
        <v>69591.263</v>
      </c>
      <c r="K16" s="9" t="n">
        <f aca="false">Centro!K16+Norte!J16+Sul!K16</f>
        <v>68933.631</v>
      </c>
      <c r="L16" s="9" t="n">
        <f aca="false">Centro!L16+Norte!K16+Sul!L16</f>
        <v>70960.146</v>
      </c>
      <c r="M16" s="9" t="n">
        <f aca="false">Centro!M16+Norte!L16+Sul!M16</f>
        <v>0</v>
      </c>
      <c r="N16" s="9" t="n">
        <f aca="false">Centro!N16+Norte!M16+Sul!N16</f>
        <v>0</v>
      </c>
      <c r="O16" s="9" t="n">
        <f aca="false">Centro!O16+Norte!N16+Sul!O16</f>
        <v>0</v>
      </c>
      <c r="P16" s="9" t="n">
        <f aca="false">Centro!P16+Norte!O16+Sul!P16</f>
        <v>0</v>
      </c>
      <c r="Q16" s="9" t="n">
        <f aca="false">Centro!Q16+Norte!P16+Sul!Q16</f>
        <v>0</v>
      </c>
      <c r="R16" s="9" t="n">
        <f aca="false">Centro!R16+Norte!Q16+Sul!R16</f>
        <v>0</v>
      </c>
    </row>
    <row r="17" customFormat="false" ht="45" hidden="false" customHeight="true" outlineLevel="0" collapsed="false">
      <c r="B17" s="6"/>
      <c r="C17" s="8" t="s">
        <v>30</v>
      </c>
      <c r="D17" s="11"/>
      <c r="E17" s="11" t="s">
        <v>29</v>
      </c>
      <c r="F17" s="6" t="s">
        <v>19</v>
      </c>
      <c r="G17" s="9" t="n">
        <f aca="false">Centro!G17+Norte!F17+Sul!G17</f>
        <v>0</v>
      </c>
      <c r="H17" s="9" t="n">
        <f aca="false">Centro!H17+Norte!G17+Sul!H17</f>
        <v>0</v>
      </c>
      <c r="I17" s="9" t="n">
        <f aca="false">Centro!I17+Norte!H17+Sul!I17</f>
        <v>0</v>
      </c>
      <c r="J17" s="9" t="n">
        <f aca="false">Centro!J17+Norte!I17+Sul!J17</f>
        <v>0</v>
      </c>
      <c r="K17" s="9" t="n">
        <f aca="false">Centro!K17+Norte!J17+Sul!K17</f>
        <v>0</v>
      </c>
      <c r="L17" s="9" t="n">
        <f aca="false">Centro!L17+Norte!K17+Sul!L17</f>
        <v>0</v>
      </c>
      <c r="M17" s="9" t="n">
        <f aca="false">Centro!M17+Norte!L17+Sul!M17</f>
        <v>0</v>
      </c>
      <c r="N17" s="9" t="n">
        <f aca="false">Centro!N17+Norte!M17+Sul!N17</f>
        <v>0</v>
      </c>
      <c r="O17" s="9" t="n">
        <f aca="false">Centro!O17+Norte!N17+Sul!O17</f>
        <v>0</v>
      </c>
      <c r="P17" s="9" t="n">
        <f aca="false">Centro!P17+Norte!O17+Sul!P17</f>
        <v>0</v>
      </c>
      <c r="Q17" s="9" t="n">
        <f aca="false">Centro!Q17+Norte!P17+Sul!Q17</f>
        <v>0</v>
      </c>
      <c r="R17" s="9" t="n">
        <f aca="false">Centro!R17+Norte!Q17+Sul!R17</f>
        <v>0</v>
      </c>
    </row>
    <row r="18" customFormat="false" ht="15.75" hidden="false" customHeight="true" outlineLevel="0" collapsed="false">
      <c r="B18" s="12"/>
    </row>
  </sheetData>
  <mergeCells count="4">
    <mergeCell ref="B5:B17"/>
    <mergeCell ref="D11:D12"/>
    <mergeCell ref="D13:D14"/>
    <mergeCell ref="D15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7.29"/>
    <col collapsed="false" customWidth="true" hidden="false" outlineLevel="0" max="3" min="3" style="0" width="21.71"/>
  </cols>
  <sheetData>
    <row r="2" customFormat="false" ht="15" hidden="false" customHeight="false" outlineLevel="0" collapsed="false">
      <c r="B2" s="4" t="s">
        <v>1</v>
      </c>
      <c r="C2" s="3" t="s">
        <v>4</v>
      </c>
    </row>
    <row r="3" customFormat="false" ht="45" hidden="false" customHeight="true" outlineLevel="0" collapsed="false">
      <c r="B3" s="7" t="s">
        <v>6</v>
      </c>
      <c r="C3" s="6" t="s">
        <v>7</v>
      </c>
    </row>
    <row r="4" customFormat="false" ht="45" hidden="false" customHeight="true" outlineLevel="0" collapsed="false">
      <c r="B4" s="7" t="s">
        <v>8</v>
      </c>
      <c r="C4" s="6" t="s">
        <v>7</v>
      </c>
    </row>
    <row r="5" customFormat="false" ht="45" hidden="false" customHeight="true" outlineLevel="0" collapsed="false">
      <c r="B5" s="8" t="s">
        <v>10</v>
      </c>
      <c r="C5" s="6" t="s">
        <v>12</v>
      </c>
    </row>
    <row r="6" customFormat="false" ht="30" hidden="false" customHeight="true" outlineLevel="0" collapsed="false">
      <c r="B6" s="8" t="s">
        <v>13</v>
      </c>
      <c r="C6" s="6" t="s">
        <v>12</v>
      </c>
    </row>
    <row r="7" customFormat="false" ht="45" hidden="false" customHeight="true" outlineLevel="0" collapsed="false">
      <c r="B7" s="7" t="s">
        <v>14</v>
      </c>
      <c r="C7" s="6" t="s">
        <v>12</v>
      </c>
    </row>
    <row r="8" customFormat="false" ht="30" hidden="false" customHeight="true" outlineLevel="0" collapsed="false">
      <c r="B8" s="7" t="s">
        <v>15</v>
      </c>
      <c r="C8" s="6" t="s">
        <v>12</v>
      </c>
    </row>
    <row r="9" customFormat="false" ht="60" hidden="false" customHeight="true" outlineLevel="0" collapsed="false">
      <c r="B9" s="8" t="s">
        <v>16</v>
      </c>
      <c r="C9" s="6" t="s">
        <v>19</v>
      </c>
    </row>
    <row r="10" customFormat="false" ht="60" hidden="false" customHeight="true" outlineLevel="0" collapsed="false">
      <c r="B10" s="8" t="s">
        <v>20</v>
      </c>
      <c r="C10" s="6" t="s">
        <v>19</v>
      </c>
    </row>
    <row r="11" customFormat="false" ht="45" hidden="false" customHeight="true" outlineLevel="0" collapsed="false">
      <c r="B11" s="8" t="s">
        <v>21</v>
      </c>
      <c r="C11" s="6" t="s">
        <v>19</v>
      </c>
    </row>
    <row r="12" customFormat="false" ht="45" hidden="false" customHeight="true" outlineLevel="0" collapsed="false">
      <c r="B12" s="8" t="s">
        <v>24</v>
      </c>
      <c r="C12" s="6" t="s">
        <v>19</v>
      </c>
    </row>
    <row r="13" customFormat="false" ht="45" hidden="false" customHeight="true" outlineLevel="0" collapsed="false">
      <c r="B13" s="8" t="s">
        <v>25</v>
      </c>
      <c r="C13" s="6" t="s">
        <v>19</v>
      </c>
    </row>
    <row r="14" customFormat="false" ht="45" hidden="false" customHeight="true" outlineLevel="0" collapsed="false">
      <c r="B14" s="8" t="s">
        <v>28</v>
      </c>
      <c r="C14" s="6" t="s">
        <v>19</v>
      </c>
    </row>
    <row r="15" customFormat="false" ht="45" hidden="false" customHeight="true" outlineLevel="0" collapsed="false">
      <c r="B15" s="8" t="s">
        <v>30</v>
      </c>
      <c r="C15" s="6" t="s">
        <v>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L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L8" activeCellId="0" sqref="L8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44.85"/>
    <col collapsed="false" customWidth="true" hidden="false" outlineLevel="0" max="5" min="4" style="1" width="35.43"/>
    <col collapsed="false" customWidth="true" hidden="false" outlineLevel="0" max="6" min="6" style="0" width="9.29"/>
    <col collapsed="false" customWidth="true" hidden="false" outlineLevel="0" max="12" min="7" style="0" width="9.71"/>
  </cols>
  <sheetData>
    <row r="3" customFormat="false" ht="30" hidden="false" customHeight="true" outlineLevel="0" collapsed="false">
      <c r="B3" s="2"/>
      <c r="G3" s="13" t="s">
        <v>31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 t="s">
        <v>32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 t="s">
        <v>33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 t="s">
        <v>34</v>
      </c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 t="s">
        <v>35</v>
      </c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 t="s">
        <v>36</v>
      </c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 t="s">
        <v>37</v>
      </c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customFormat="false" ht="32.25" hidden="false" customHeight="true" outlineLevel="0" collapsed="false">
      <c r="B4" s="15" t="s">
        <v>38</v>
      </c>
      <c r="C4" s="16" t="s">
        <v>1</v>
      </c>
      <c r="D4" s="16" t="s">
        <v>2</v>
      </c>
      <c r="E4" s="16" t="s">
        <v>3</v>
      </c>
      <c r="F4" s="17" t="s">
        <v>4</v>
      </c>
      <c r="G4" s="18" t="n">
        <v>46023</v>
      </c>
      <c r="H4" s="19" t="n">
        <v>46054</v>
      </c>
      <c r="I4" s="19" t="n">
        <v>46082</v>
      </c>
      <c r="J4" s="19" t="n">
        <v>46113</v>
      </c>
      <c r="K4" s="19" t="n">
        <v>46143</v>
      </c>
      <c r="L4" s="19" t="n">
        <v>46174</v>
      </c>
      <c r="M4" s="19" t="n">
        <v>46204</v>
      </c>
      <c r="N4" s="19" t="n">
        <v>46235</v>
      </c>
      <c r="O4" s="19" t="n">
        <v>46266</v>
      </c>
      <c r="P4" s="19" t="n">
        <v>46296</v>
      </c>
      <c r="Q4" s="19" t="n">
        <v>46327</v>
      </c>
      <c r="R4" s="20" t="n">
        <v>46357</v>
      </c>
      <c r="S4" s="21" t="n">
        <v>46023</v>
      </c>
      <c r="T4" s="22" t="n">
        <v>46054</v>
      </c>
      <c r="U4" s="22" t="n">
        <v>46082</v>
      </c>
      <c r="V4" s="22" t="n">
        <v>46113</v>
      </c>
      <c r="W4" s="22" t="n">
        <v>46143</v>
      </c>
      <c r="X4" s="22" t="n">
        <v>46174</v>
      </c>
      <c r="Y4" s="22" t="n">
        <v>46204</v>
      </c>
      <c r="Z4" s="22" t="n">
        <v>46235</v>
      </c>
      <c r="AA4" s="22" t="n">
        <v>46266</v>
      </c>
      <c r="AB4" s="22" t="n">
        <v>46296</v>
      </c>
      <c r="AC4" s="22" t="n">
        <v>46327</v>
      </c>
      <c r="AD4" s="23" t="n">
        <v>46357</v>
      </c>
      <c r="AE4" s="21" t="n">
        <v>46023</v>
      </c>
      <c r="AF4" s="22" t="n">
        <v>46054</v>
      </c>
      <c r="AG4" s="22" t="n">
        <v>46082</v>
      </c>
      <c r="AH4" s="22" t="n">
        <v>46113</v>
      </c>
      <c r="AI4" s="22" t="n">
        <v>46143</v>
      </c>
      <c r="AJ4" s="22" t="n">
        <v>46174</v>
      </c>
      <c r="AK4" s="22" t="n">
        <v>46204</v>
      </c>
      <c r="AL4" s="22" t="n">
        <v>46235</v>
      </c>
      <c r="AM4" s="22" t="n">
        <v>46266</v>
      </c>
      <c r="AN4" s="22" t="n">
        <v>46296</v>
      </c>
      <c r="AO4" s="22" t="n">
        <v>46327</v>
      </c>
      <c r="AP4" s="23" t="n">
        <v>46357</v>
      </c>
      <c r="AQ4" s="21" t="n">
        <v>46023</v>
      </c>
      <c r="AR4" s="22" t="n">
        <v>46054</v>
      </c>
      <c r="AS4" s="22" t="n">
        <v>46082</v>
      </c>
      <c r="AT4" s="22" t="n">
        <v>46113</v>
      </c>
      <c r="AU4" s="22" t="n">
        <v>46143</v>
      </c>
      <c r="AV4" s="22" t="n">
        <v>46174</v>
      </c>
      <c r="AW4" s="22" t="n">
        <v>46204</v>
      </c>
      <c r="AX4" s="22" t="n">
        <v>46235</v>
      </c>
      <c r="AY4" s="22" t="n">
        <v>46266</v>
      </c>
      <c r="AZ4" s="22" t="n">
        <v>46296</v>
      </c>
      <c r="BA4" s="22" t="n">
        <v>46327</v>
      </c>
      <c r="BB4" s="23" t="n">
        <v>46357</v>
      </c>
      <c r="BC4" s="21" t="n">
        <v>46023</v>
      </c>
      <c r="BD4" s="22" t="n">
        <v>46054</v>
      </c>
      <c r="BE4" s="22" t="n">
        <v>46082</v>
      </c>
      <c r="BF4" s="22" t="n">
        <v>46113</v>
      </c>
      <c r="BG4" s="22" t="n">
        <v>46143</v>
      </c>
      <c r="BH4" s="22" t="n">
        <v>46174</v>
      </c>
      <c r="BI4" s="22" t="n">
        <v>46204</v>
      </c>
      <c r="BJ4" s="22" t="n">
        <v>46235</v>
      </c>
      <c r="BK4" s="22" t="n">
        <v>46266</v>
      </c>
      <c r="BL4" s="22" t="n">
        <v>46296</v>
      </c>
      <c r="BM4" s="22" t="n">
        <v>46327</v>
      </c>
      <c r="BN4" s="23" t="n">
        <v>46357</v>
      </c>
      <c r="BO4" s="21" t="n">
        <v>46023</v>
      </c>
      <c r="BP4" s="22" t="n">
        <v>46054</v>
      </c>
      <c r="BQ4" s="22" t="n">
        <v>46082</v>
      </c>
      <c r="BR4" s="22" t="n">
        <v>46113</v>
      </c>
      <c r="BS4" s="22" t="n">
        <v>46143</v>
      </c>
      <c r="BT4" s="22" t="n">
        <v>46174</v>
      </c>
      <c r="BU4" s="22" t="n">
        <v>46204</v>
      </c>
      <c r="BV4" s="22" t="n">
        <v>46235</v>
      </c>
      <c r="BW4" s="22" t="n">
        <v>46266</v>
      </c>
      <c r="BX4" s="22" t="n">
        <v>46296</v>
      </c>
      <c r="BY4" s="22" t="n">
        <v>46327</v>
      </c>
      <c r="BZ4" s="23" t="n">
        <v>46357</v>
      </c>
      <c r="CA4" s="21" t="n">
        <v>46023</v>
      </c>
      <c r="CB4" s="22" t="n">
        <v>46054</v>
      </c>
      <c r="CC4" s="22" t="n">
        <v>46082</v>
      </c>
      <c r="CD4" s="22" t="n">
        <v>46113</v>
      </c>
      <c r="CE4" s="22" t="n">
        <v>46143</v>
      </c>
      <c r="CF4" s="22" t="n">
        <v>46174</v>
      </c>
      <c r="CG4" s="22" t="n">
        <v>46204</v>
      </c>
      <c r="CH4" s="22" t="n">
        <v>46235</v>
      </c>
      <c r="CI4" s="22" t="n">
        <v>46266</v>
      </c>
      <c r="CJ4" s="22" t="n">
        <v>46296</v>
      </c>
      <c r="CK4" s="22" t="n">
        <v>46327</v>
      </c>
      <c r="CL4" s="23" t="n">
        <v>46357</v>
      </c>
    </row>
    <row r="5" customFormat="false" ht="45" hidden="false" customHeight="true" outlineLevel="0" collapsed="false">
      <c r="B5" s="24"/>
      <c r="C5" s="25" t="s">
        <v>6</v>
      </c>
      <c r="D5" s="25"/>
      <c r="E5" s="25"/>
      <c r="F5" s="26" t="s">
        <v>7</v>
      </c>
      <c r="G5" s="27" t="n">
        <f aca="false">S5+AE5+AQ5+BC5+BO5+CA5</f>
        <v>0</v>
      </c>
      <c r="H5" s="27" t="n">
        <f aca="false">T5+AF5+AR5+BD5+BP5+CB5</f>
        <v>0</v>
      </c>
      <c r="I5" s="27" t="n">
        <f aca="false">U5+AG5+AS5+BE5+BQ5+CC5</f>
        <v>0</v>
      </c>
      <c r="J5" s="27" t="n">
        <f aca="false">V5+AH5+AT5+BF5+BR5+CD5</f>
        <v>0</v>
      </c>
      <c r="K5" s="27" t="n">
        <f aca="false">W5+AI5+AU5+BG5+BS5+CE5</f>
        <v>0</v>
      </c>
      <c r="L5" s="27" t="n">
        <f aca="false">X5+AJ5+AV5+BH5+BT5+CF5</f>
        <v>0</v>
      </c>
      <c r="M5" s="27" t="n">
        <f aca="false">Y5+AK5+AW5+BI5+BU5+CG5</f>
        <v>0</v>
      </c>
      <c r="N5" s="27" t="n">
        <f aca="false">Z5+AL5+AX5+BJ5+BV5+CH5</f>
        <v>0</v>
      </c>
      <c r="O5" s="27" t="n">
        <f aca="false">AA5+AM5+AY5+BK5+BW5+CI5</f>
        <v>0</v>
      </c>
      <c r="P5" s="27" t="n">
        <f aca="false">AB5+AN5+AZ5+BL5+BX5+CJ5</f>
        <v>0</v>
      </c>
      <c r="Q5" s="27" t="n">
        <f aca="false">AC5+AO5+BA5+BM5+BY5+CK5</f>
        <v>0</v>
      </c>
      <c r="R5" s="27" t="n">
        <f aca="false">AD5+AP5+BB5+BN5+BZ5+CL5</f>
        <v>0</v>
      </c>
      <c r="S5" s="28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4" t="n">
        <v>0</v>
      </c>
      <c r="Y5" s="24"/>
      <c r="Z5" s="24"/>
      <c r="AA5" s="24"/>
      <c r="AB5" s="24"/>
      <c r="AC5" s="24"/>
      <c r="AD5" s="29"/>
      <c r="AE5" s="28" t="n">
        <v>0</v>
      </c>
      <c r="AF5" s="24" t="n">
        <v>0</v>
      </c>
      <c r="AG5" s="24" t="n">
        <v>0</v>
      </c>
      <c r="AH5" s="24" t="n">
        <v>0</v>
      </c>
      <c r="AI5" s="24" t="n">
        <v>0</v>
      </c>
      <c r="AJ5" s="24" t="n">
        <v>0</v>
      </c>
      <c r="AK5" s="24"/>
      <c r="AL5" s="24"/>
      <c r="AM5" s="24"/>
      <c r="AN5" s="24"/>
      <c r="AO5" s="24"/>
      <c r="AP5" s="29"/>
      <c r="AQ5" s="28" t="n">
        <v>0</v>
      </c>
      <c r="AR5" s="24" t="n">
        <v>0</v>
      </c>
      <c r="AS5" s="24" t="n">
        <v>0</v>
      </c>
      <c r="AT5" s="24" t="n">
        <v>0</v>
      </c>
      <c r="AU5" s="24" t="n">
        <v>0</v>
      </c>
      <c r="AV5" s="24" t="n">
        <v>0</v>
      </c>
      <c r="AW5" s="24"/>
      <c r="AX5" s="24"/>
      <c r="AY5" s="24"/>
      <c r="AZ5" s="24"/>
      <c r="BA5" s="24"/>
      <c r="BB5" s="29"/>
      <c r="BC5" s="28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/>
      <c r="BJ5" s="24"/>
      <c r="BK5" s="24"/>
      <c r="BL5" s="24"/>
      <c r="BM5" s="24"/>
      <c r="BN5" s="29"/>
      <c r="BO5" s="30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2"/>
      <c r="CA5" s="30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2"/>
    </row>
    <row r="6" customFormat="false" ht="30" hidden="false" customHeight="true" outlineLevel="0" collapsed="false">
      <c r="B6" s="24"/>
      <c r="C6" s="25" t="s">
        <v>8</v>
      </c>
      <c r="D6" s="25"/>
      <c r="E6" s="25" t="s">
        <v>9</v>
      </c>
      <c r="F6" s="26" t="s">
        <v>7</v>
      </c>
      <c r="G6" s="27" t="n">
        <f aca="false">S6+AE6+AQ6+BC6+BO6+CA6</f>
        <v>101465</v>
      </c>
      <c r="H6" s="27" t="n">
        <f aca="false">T6+AF6+AR6+BD6+BP6+CB6</f>
        <v>88410</v>
      </c>
      <c r="I6" s="27" t="n">
        <f aca="false">U6+AG6+AS6+BE6+BQ6+CC6</f>
        <v>94535</v>
      </c>
      <c r="J6" s="27" t="n">
        <f aca="false">V6+AH6+AT6+BF6+BR6+CD6</f>
        <v>101920</v>
      </c>
      <c r="K6" s="27" t="n">
        <f aca="false">W6+AI6+AU6+BG6+BS6+CE6</f>
        <v>106820</v>
      </c>
      <c r="L6" s="27" t="n">
        <f aca="false">X6+AJ6+AV6+BH6+BT6+CF6</f>
        <v>100625</v>
      </c>
      <c r="M6" s="27" t="n">
        <f aca="false">Y6+AK6+AW6+BI6+BU6+CG6</f>
        <v>0</v>
      </c>
      <c r="N6" s="27" t="n">
        <f aca="false">Z6+AL6+AX6+BJ6+BV6+CH6</f>
        <v>0</v>
      </c>
      <c r="O6" s="27" t="n">
        <f aca="false">AA6+AM6+AY6+BK6+BW6+CI6</f>
        <v>0</v>
      </c>
      <c r="P6" s="27" t="n">
        <f aca="false">AB6+AN6+AZ6+BL6+BX6+CJ6</f>
        <v>0</v>
      </c>
      <c r="Q6" s="27" t="n">
        <f aca="false">AC6+AO6+BA6+BM6+BY6+CK6</f>
        <v>0</v>
      </c>
      <c r="R6" s="27" t="n">
        <f aca="false">AD6+AP6+BB6+BN6+BZ6+CL6</f>
        <v>0</v>
      </c>
      <c r="S6" s="28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4" t="n">
        <v>0</v>
      </c>
      <c r="Y6" s="24"/>
      <c r="Z6" s="24"/>
      <c r="AA6" s="24"/>
      <c r="AB6" s="24"/>
      <c r="AC6" s="24"/>
      <c r="AD6" s="29"/>
      <c r="AE6" s="28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/>
      <c r="AL6" s="24"/>
      <c r="AM6" s="24"/>
      <c r="AN6" s="24"/>
      <c r="AO6" s="24"/>
      <c r="AP6" s="29"/>
      <c r="AQ6" s="28" t="n">
        <v>0</v>
      </c>
      <c r="AR6" s="24" t="n">
        <v>0</v>
      </c>
      <c r="AS6" s="24" t="n">
        <v>0</v>
      </c>
      <c r="AT6" s="24" t="n">
        <v>0</v>
      </c>
      <c r="AU6" s="24" t="n">
        <v>0</v>
      </c>
      <c r="AV6" s="24" t="n">
        <v>0</v>
      </c>
      <c r="AW6" s="24"/>
      <c r="AX6" s="24"/>
      <c r="AY6" s="24"/>
      <c r="AZ6" s="24"/>
      <c r="BA6" s="24"/>
      <c r="BB6" s="29"/>
      <c r="BC6" s="28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/>
      <c r="BJ6" s="24"/>
      <c r="BK6" s="24"/>
      <c r="BL6" s="24"/>
      <c r="BM6" s="24"/>
      <c r="BN6" s="29"/>
      <c r="BO6" s="30" t="n">
        <v>101465</v>
      </c>
      <c r="BP6" s="31" t="n">
        <v>88410</v>
      </c>
      <c r="BQ6" s="31" t="n">
        <v>94535</v>
      </c>
      <c r="BR6" s="31" t="n">
        <v>101920</v>
      </c>
      <c r="BS6" s="31" t="n">
        <v>106820</v>
      </c>
      <c r="BT6" s="31" t="n">
        <v>100625</v>
      </c>
      <c r="BU6" s="31"/>
      <c r="BV6" s="31"/>
      <c r="BW6" s="31"/>
      <c r="BX6" s="31"/>
      <c r="BY6" s="31"/>
      <c r="BZ6" s="32"/>
      <c r="CA6" s="30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2"/>
    </row>
    <row r="7" customFormat="false" ht="30" hidden="false" customHeight="true" outlineLevel="0" collapsed="false">
      <c r="B7" s="24"/>
      <c r="C7" s="25" t="s">
        <v>10</v>
      </c>
      <c r="D7" s="25"/>
      <c r="E7" s="25" t="s">
        <v>11</v>
      </c>
      <c r="F7" s="26" t="s">
        <v>12</v>
      </c>
      <c r="G7" s="27" t="n">
        <f aca="false">S7+AE7+AQ7+BC7+BO7+CA7</f>
        <v>15.1</v>
      </c>
      <c r="H7" s="27" t="n">
        <f aca="false">T7+AF7+AR7+BD7+BP7+CB7</f>
        <v>10.9</v>
      </c>
      <c r="I7" s="27" t="n">
        <f aca="false">U7+AG7+AS7+BE7+BQ7+CC7</f>
        <v>48.723</v>
      </c>
      <c r="J7" s="27" t="n">
        <f aca="false">V7+AH7+AT7+BF7+BR7+CD7</f>
        <v>171.869</v>
      </c>
      <c r="K7" s="27" t="n">
        <f aca="false">W7+AI7+AU7+BG7+BS7+CE7</f>
        <v>169.33</v>
      </c>
      <c r="L7" s="27" t="n">
        <f aca="false">X7+AJ7+AV7+BH7+BT7+CF7</f>
        <v>325.138</v>
      </c>
      <c r="M7" s="27" t="n">
        <f aca="false">Y7+AK7+AW7+BI7+BU7+CG7</f>
        <v>0</v>
      </c>
      <c r="N7" s="27" t="n">
        <f aca="false">Z7+AL7+AX7+BJ7+BV7+CH7</f>
        <v>0</v>
      </c>
      <c r="O7" s="27" t="n">
        <f aca="false">AA7+AM7+AY7+BK7+BW7+CI7</f>
        <v>0</v>
      </c>
      <c r="P7" s="27" t="n">
        <f aca="false">AB7+AN7+AZ7+BL7+BX7+CJ7</f>
        <v>0</v>
      </c>
      <c r="Q7" s="27" t="n">
        <f aca="false">AC7+AO7+BA7+BM7+BY7+CK7</f>
        <v>0</v>
      </c>
      <c r="R7" s="27" t="n">
        <f aca="false">AD7+AP7+BB7+BN7+BZ7+CL7</f>
        <v>0</v>
      </c>
      <c r="S7" s="28" t="n">
        <v>12.5</v>
      </c>
      <c r="T7" s="24" t="n">
        <v>5</v>
      </c>
      <c r="U7" s="24" t="n">
        <v>0</v>
      </c>
      <c r="V7" s="24" t="n">
        <v>0</v>
      </c>
      <c r="W7" s="24" t="n">
        <v>0</v>
      </c>
      <c r="X7" s="24" t="n">
        <v>4.005</v>
      </c>
      <c r="Y7" s="24"/>
      <c r="Z7" s="24"/>
      <c r="AA7" s="24"/>
      <c r="AB7" s="24"/>
      <c r="AC7" s="24"/>
      <c r="AD7" s="29"/>
      <c r="AE7" s="28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9"/>
      <c r="AQ7" s="28" t="n">
        <v>2.6</v>
      </c>
      <c r="AR7" s="24" t="n">
        <v>5.9</v>
      </c>
      <c r="AS7" s="24" t="n">
        <v>48.723</v>
      </c>
      <c r="AT7" s="24" t="n">
        <v>26.536</v>
      </c>
      <c r="AU7" s="24" t="n">
        <v>26.1</v>
      </c>
      <c r="AV7" s="24" t="n">
        <v>0</v>
      </c>
      <c r="AW7" s="24"/>
      <c r="AX7" s="24"/>
      <c r="AY7" s="24"/>
      <c r="AZ7" s="24"/>
      <c r="BA7" s="24"/>
      <c r="BB7" s="29"/>
      <c r="BC7" s="28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9"/>
      <c r="BO7" s="28" t="n">
        <v>0</v>
      </c>
      <c r="BP7" s="24" t="n">
        <v>0</v>
      </c>
      <c r="BQ7" s="24" t="n">
        <v>0</v>
      </c>
      <c r="BR7" s="24" t="n">
        <v>0</v>
      </c>
      <c r="BS7" s="24" t="n">
        <v>0</v>
      </c>
      <c r="BT7" s="24" t="n">
        <v>17.84</v>
      </c>
      <c r="BU7" s="24"/>
      <c r="BV7" s="24"/>
      <c r="BW7" s="24"/>
      <c r="BX7" s="24"/>
      <c r="BY7" s="24"/>
      <c r="BZ7" s="29"/>
      <c r="CA7" s="28" t="n">
        <v>0</v>
      </c>
      <c r="CB7" s="24" t="n">
        <v>0</v>
      </c>
      <c r="CC7" s="24" t="n">
        <v>0</v>
      </c>
      <c r="CD7" s="24" t="n">
        <v>145.333</v>
      </c>
      <c r="CE7" s="24" t="n">
        <v>143.23</v>
      </c>
      <c r="CF7" s="24" t="n">
        <v>303.293</v>
      </c>
      <c r="CG7" s="24"/>
      <c r="CH7" s="24"/>
      <c r="CI7" s="24"/>
      <c r="CJ7" s="24"/>
      <c r="CK7" s="24"/>
      <c r="CL7" s="29"/>
    </row>
    <row r="8" customFormat="false" ht="30" hidden="false" customHeight="true" outlineLevel="0" collapsed="false">
      <c r="B8" s="24"/>
      <c r="C8" s="25" t="s">
        <v>13</v>
      </c>
      <c r="D8" s="25"/>
      <c r="E8" s="25"/>
      <c r="F8" s="26" t="s">
        <v>12</v>
      </c>
      <c r="G8" s="27" t="n">
        <f aca="false">S8+AE8+AQ8+BC8+BO8+CA8</f>
        <v>26</v>
      </c>
      <c r="H8" s="27" t="n">
        <f aca="false">T8+AF8+AR8+BD8+BP8+CB8</f>
        <v>32</v>
      </c>
      <c r="I8" s="27" t="n">
        <f aca="false">U8+AG8+AS8+BE8+BQ8+CC8</f>
        <v>43</v>
      </c>
      <c r="J8" s="27" t="n">
        <f aca="false">V8+AH8+AT8+BF8+BR8+CD8</f>
        <v>35</v>
      </c>
      <c r="K8" s="27" t="n">
        <f aca="false">W8+AI8+AU8+BG8+BS8+CE8</f>
        <v>29</v>
      </c>
      <c r="L8" s="27" t="n">
        <f aca="false">X8+AJ8+AV8+BH8+BT8+CF8</f>
        <v>30</v>
      </c>
      <c r="M8" s="27" t="n">
        <f aca="false">Y8+AK8+AW8+BI8+BU8+CG8</f>
        <v>0</v>
      </c>
      <c r="N8" s="27" t="n">
        <f aca="false">Z8+AL8+AX8+BJ8+BV8+CH8</f>
        <v>0</v>
      </c>
      <c r="O8" s="27" t="n">
        <f aca="false">AA8+AM8+AY8+BK8+BW8+CI8</f>
        <v>0</v>
      </c>
      <c r="P8" s="27" t="n">
        <f aca="false">AB8+AN8+AZ8+BL8+BX8+CJ8</f>
        <v>0</v>
      </c>
      <c r="Q8" s="27" t="n">
        <f aca="false">AC8+AO8+BA8+BM8+BY8+CK8</f>
        <v>0</v>
      </c>
      <c r="R8" s="27" t="n">
        <f aca="false">AD8+AP8+BB8+BN8+BZ8+CL8</f>
        <v>0</v>
      </c>
      <c r="S8" s="28" t="n">
        <v>10</v>
      </c>
      <c r="T8" s="24" t="n">
        <v>20</v>
      </c>
      <c r="U8" s="24" t="n">
        <v>30</v>
      </c>
      <c r="V8" s="24" t="n">
        <v>18</v>
      </c>
      <c r="W8" s="24" t="n">
        <v>10</v>
      </c>
      <c r="X8" s="24" t="n">
        <v>13</v>
      </c>
      <c r="Y8" s="24"/>
      <c r="Z8" s="24"/>
      <c r="AA8" s="24"/>
      <c r="AB8" s="24"/>
      <c r="AC8" s="24"/>
      <c r="AD8" s="29"/>
      <c r="AE8" s="28" t="n">
        <v>8</v>
      </c>
      <c r="AF8" s="24" t="n">
        <v>7</v>
      </c>
      <c r="AG8" s="24" t="n">
        <v>6</v>
      </c>
      <c r="AH8" s="24" t="n">
        <v>8</v>
      </c>
      <c r="AI8" s="24" t="n">
        <v>9</v>
      </c>
      <c r="AJ8" s="24" t="n">
        <v>5</v>
      </c>
      <c r="AK8" s="24"/>
      <c r="AL8" s="24"/>
      <c r="AM8" s="24"/>
      <c r="AN8" s="24"/>
      <c r="AO8" s="24"/>
      <c r="AP8" s="29"/>
      <c r="AQ8" s="28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/>
      <c r="AX8" s="24"/>
      <c r="AY8" s="24"/>
      <c r="AZ8" s="24"/>
      <c r="BA8" s="24"/>
      <c r="BB8" s="29"/>
      <c r="BC8" s="28" t="n">
        <v>8</v>
      </c>
      <c r="BD8" s="24" t="n">
        <v>5</v>
      </c>
      <c r="BE8" s="24" t="n">
        <v>7</v>
      </c>
      <c r="BF8" s="24" t="n">
        <v>9</v>
      </c>
      <c r="BG8" s="24" t="n">
        <v>10</v>
      </c>
      <c r="BH8" s="24" t="n">
        <v>12</v>
      </c>
      <c r="BI8" s="24"/>
      <c r="BJ8" s="24"/>
      <c r="BK8" s="24"/>
      <c r="BL8" s="24"/>
      <c r="BM8" s="24"/>
      <c r="BN8" s="29"/>
      <c r="BO8" s="28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9"/>
      <c r="CA8" s="28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9"/>
    </row>
    <row r="9" customFormat="false" ht="30" hidden="false" customHeight="true" outlineLevel="0" collapsed="false">
      <c r="B9" s="24"/>
      <c r="C9" s="25" t="s">
        <v>14</v>
      </c>
      <c r="D9" s="25"/>
      <c r="E9" s="25" t="s">
        <v>11</v>
      </c>
      <c r="F9" s="26" t="s">
        <v>12</v>
      </c>
      <c r="G9" s="27" t="n">
        <f aca="false">S9+AE9+AQ9+BC9+BO9+CA9</f>
        <v>0</v>
      </c>
      <c r="H9" s="33" t="n">
        <f aca="false">T9+AF9+AR9+BD9+BP9+CB9</f>
        <v>0</v>
      </c>
      <c r="I9" s="33" t="n">
        <f aca="false">U9+AG9+AS9+BE9+BQ9+CC9</f>
        <v>0</v>
      </c>
      <c r="J9" s="33" t="n">
        <f aca="false">V9+AH9+AT9+BF9+BR9+CD9</f>
        <v>0</v>
      </c>
      <c r="K9" s="33" t="n">
        <f aca="false">W9+AI9+AU9+BG9+BS9+CE9</f>
        <v>0</v>
      </c>
      <c r="L9" s="33" t="n">
        <f aca="false">X9+AJ9+AV9+BH9+BT9+CF9</f>
        <v>0</v>
      </c>
      <c r="M9" s="33" t="n">
        <f aca="false">Y9+AK9+AW9+BI9+BU9+CG9</f>
        <v>0</v>
      </c>
      <c r="N9" s="33" t="n">
        <f aca="false">Z9+AL9+AX9+BJ9+BV9+CH9</f>
        <v>0</v>
      </c>
      <c r="O9" s="33" t="n">
        <f aca="false">AA9+AM9+AY9+BK9+BW9+CI9</f>
        <v>0</v>
      </c>
      <c r="P9" s="33" t="n">
        <f aca="false">AB9+AN9+AZ9+BL9+BX9+CJ9</f>
        <v>0</v>
      </c>
      <c r="Q9" s="33" t="n">
        <f aca="false">AC9+AO9+BA9+BM9+BY9+CK9</f>
        <v>0</v>
      </c>
      <c r="R9" s="34" t="n">
        <f aca="false">AD9+AP9+BB9+BN9+BZ9+CL9</f>
        <v>0</v>
      </c>
      <c r="S9" s="28"/>
      <c r="T9" s="24"/>
      <c r="U9" s="24"/>
      <c r="V9" s="24"/>
      <c r="W9" s="24"/>
      <c r="X9" s="24"/>
      <c r="Y9" s="24"/>
      <c r="Z9" s="24"/>
      <c r="AA9" s="24"/>
      <c r="AB9" s="24"/>
      <c r="AC9" s="24"/>
      <c r="AD9" s="29"/>
      <c r="AE9" s="28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9"/>
      <c r="AQ9" s="28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9"/>
      <c r="BC9" s="28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9"/>
      <c r="BO9" s="28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9"/>
      <c r="CA9" s="28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9"/>
    </row>
    <row r="10" customFormat="false" ht="30" hidden="false" customHeight="true" outlineLevel="0" collapsed="false">
      <c r="B10" s="24"/>
      <c r="C10" s="25" t="s">
        <v>15</v>
      </c>
      <c r="D10" s="25"/>
      <c r="E10" s="25"/>
      <c r="F10" s="26" t="s">
        <v>12</v>
      </c>
      <c r="G10" s="27" t="n">
        <f aca="false">S10+AE10+AQ10+BC10+BO10+CA10</f>
        <v>0</v>
      </c>
      <c r="H10" s="27" t="n">
        <f aca="false">T10+AF10+AR10+BD10+BP10+CB10</f>
        <v>0</v>
      </c>
      <c r="I10" s="27" t="n">
        <f aca="false">U10+AG10+AS10+BE10+BQ10+CC10</f>
        <v>0</v>
      </c>
      <c r="J10" s="27" t="n">
        <f aca="false">V10+AH10+AT10+BF10+BR10+CD10</f>
        <v>0</v>
      </c>
      <c r="K10" s="27" t="n">
        <f aca="false">W10+AI10+AU10+BG10+BS10+CE10</f>
        <v>0</v>
      </c>
      <c r="L10" s="27" t="n">
        <f aca="false">X10+AJ10+AV10+BH10+BT10+CF10</f>
        <v>0</v>
      </c>
      <c r="M10" s="27" t="n">
        <f aca="false">Y10+AK10+AW10+BI10+BU10+CG10</f>
        <v>0</v>
      </c>
      <c r="N10" s="27" t="n">
        <f aca="false">Z10+AL10+AX10+BJ10+BV10+CH10</f>
        <v>0</v>
      </c>
      <c r="O10" s="27" t="n">
        <f aca="false">AA10+AM10+AY10+BK10+BW10+CI10</f>
        <v>0</v>
      </c>
      <c r="P10" s="27" t="n">
        <f aca="false">AB10+AN10+AZ10+BL10+BX10+CJ10</f>
        <v>0</v>
      </c>
      <c r="Q10" s="27" t="n">
        <f aca="false">AC10+AO10+BA10+BM10+BY10+CK10</f>
        <v>0</v>
      </c>
      <c r="R10" s="27" t="n">
        <f aca="false">AD10+AP10+BB10+BN10+BZ10+CL10</f>
        <v>0</v>
      </c>
      <c r="S10" s="28" t="n">
        <v>0</v>
      </c>
      <c r="T10" s="24" t="n">
        <v>0</v>
      </c>
      <c r="U10" s="24" t="n">
        <v>0</v>
      </c>
      <c r="V10" s="24" t="n">
        <v>0</v>
      </c>
      <c r="W10" s="24" t="n">
        <v>0</v>
      </c>
      <c r="X10" s="24" t="n">
        <v>0</v>
      </c>
      <c r="Y10" s="24"/>
      <c r="Z10" s="24"/>
      <c r="AA10" s="24"/>
      <c r="AB10" s="24"/>
      <c r="AC10" s="24"/>
      <c r="AD10" s="29"/>
      <c r="AE10" s="28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/>
      <c r="AL10" s="24"/>
      <c r="AM10" s="24"/>
      <c r="AN10" s="24"/>
      <c r="AO10" s="24"/>
      <c r="AP10" s="29"/>
      <c r="AQ10" s="28" t="n">
        <v>0</v>
      </c>
      <c r="AR10" s="24" t="n">
        <v>0</v>
      </c>
      <c r="AS10" s="24" t="n">
        <v>0</v>
      </c>
      <c r="AT10" s="24" t="n">
        <v>0</v>
      </c>
      <c r="AU10" s="24" t="n">
        <v>0</v>
      </c>
      <c r="AV10" s="24" t="n">
        <v>0</v>
      </c>
      <c r="AW10" s="24"/>
      <c r="AX10" s="24"/>
      <c r="AY10" s="24"/>
      <c r="AZ10" s="24"/>
      <c r="BA10" s="24"/>
      <c r="BB10" s="29"/>
      <c r="BC10" s="28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/>
      <c r="BJ10" s="24"/>
      <c r="BK10" s="24"/>
      <c r="BL10" s="24"/>
      <c r="BM10" s="24"/>
      <c r="BN10" s="29"/>
      <c r="BO10" s="28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9"/>
      <c r="CA10" s="28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9"/>
    </row>
    <row r="11" customFormat="false" ht="45" hidden="false" customHeight="true" outlineLevel="0" collapsed="false">
      <c r="B11" s="24"/>
      <c r="C11" s="25" t="s">
        <v>16</v>
      </c>
      <c r="D11" s="35" t="s">
        <v>17</v>
      </c>
      <c r="E11" s="35" t="s">
        <v>18</v>
      </c>
      <c r="F11" s="26" t="s">
        <v>19</v>
      </c>
      <c r="G11" s="27" t="n">
        <f aca="false">S11+AE11+AQ11+BC11+BO11+CA11</f>
        <v>85</v>
      </c>
      <c r="H11" s="33" t="n">
        <f aca="false">T11+AF11+AR11+BD11+BP11+CB11</f>
        <v>105</v>
      </c>
      <c r="I11" s="33" t="n">
        <f aca="false">U11+AG11+AS11+BE11+BQ11+CC11</f>
        <v>93</v>
      </c>
      <c r="J11" s="33" t="n">
        <f aca="false">V11+AH11+AT11+BF11+BR11+CD11</f>
        <v>69</v>
      </c>
      <c r="K11" s="33" t="n">
        <f aca="false">W11+AI11+AU11+BG11+BS11+CE11</f>
        <v>46</v>
      </c>
      <c r="L11" s="33" t="n">
        <f aca="false">X11+AJ11+AV11+BH11+BT11+CF11</f>
        <v>56</v>
      </c>
      <c r="M11" s="33" t="n">
        <f aca="false">Y11+AK11+AW11+BI11+BU11+CG11</f>
        <v>0</v>
      </c>
      <c r="N11" s="33" t="n">
        <f aca="false">Z11+AL11+AX11+BJ11+BV11+CH11</f>
        <v>0</v>
      </c>
      <c r="O11" s="33" t="n">
        <f aca="false">AA11+AM11+AY11+BK11+BW11+CI11</f>
        <v>0</v>
      </c>
      <c r="P11" s="33" t="n">
        <f aca="false">AB11+AN11+AZ11+BL11+BX11+CJ11</f>
        <v>0</v>
      </c>
      <c r="Q11" s="33" t="n">
        <f aca="false">AC11+AO11+BA11+BM11+BY11+CK11</f>
        <v>0</v>
      </c>
      <c r="R11" s="34" t="n">
        <f aca="false">AD11+AP11+BB11+BN11+BZ11+CL11</f>
        <v>0</v>
      </c>
      <c r="S11" s="28" t="n">
        <v>30</v>
      </c>
      <c r="T11" s="24" t="n">
        <v>40</v>
      </c>
      <c r="U11" s="24" t="n">
        <v>12</v>
      </c>
      <c r="V11" s="24" t="n">
        <v>16</v>
      </c>
      <c r="W11" s="24" t="n">
        <v>19</v>
      </c>
      <c r="X11" s="24" t="n">
        <v>25</v>
      </c>
      <c r="Y11" s="24"/>
      <c r="Z11" s="24"/>
      <c r="AA11" s="24"/>
      <c r="AB11" s="24"/>
      <c r="AC11" s="24"/>
      <c r="AD11" s="29"/>
      <c r="AE11" s="28" t="n">
        <v>9</v>
      </c>
      <c r="AF11" s="24" t="n">
        <v>8</v>
      </c>
      <c r="AG11" s="24" t="n">
        <v>12</v>
      </c>
      <c r="AH11" s="24" t="n">
        <v>11</v>
      </c>
      <c r="AI11" s="24" t="n">
        <v>13</v>
      </c>
      <c r="AJ11" s="24" t="n">
        <v>14</v>
      </c>
      <c r="AK11" s="24"/>
      <c r="AL11" s="24"/>
      <c r="AM11" s="24"/>
      <c r="AN11" s="24"/>
      <c r="AO11" s="24"/>
      <c r="AP11" s="24"/>
      <c r="AQ11" s="28" t="n">
        <v>40</v>
      </c>
      <c r="AR11" s="24" t="n">
        <v>50</v>
      </c>
      <c r="AS11" s="24" t="n">
        <v>60</v>
      </c>
      <c r="AT11" s="24" t="n">
        <v>30</v>
      </c>
      <c r="AU11" s="24" t="n">
        <v>0</v>
      </c>
      <c r="AV11" s="24" t="n">
        <v>0</v>
      </c>
      <c r="AW11" s="24"/>
      <c r="AX11" s="24"/>
      <c r="AY11" s="24"/>
      <c r="AZ11" s="24"/>
      <c r="BA11" s="24"/>
      <c r="BB11" s="29"/>
      <c r="BC11" s="28" t="n">
        <v>6</v>
      </c>
      <c r="BD11" s="24" t="n">
        <v>7</v>
      </c>
      <c r="BE11" s="24" t="n">
        <v>9</v>
      </c>
      <c r="BF11" s="24" t="n">
        <v>12</v>
      </c>
      <c r="BG11" s="24" t="n">
        <v>14</v>
      </c>
      <c r="BH11" s="24" t="n">
        <v>17</v>
      </c>
      <c r="BI11" s="24"/>
      <c r="BJ11" s="24"/>
      <c r="BK11" s="24"/>
      <c r="BL11" s="24"/>
      <c r="BM11" s="24"/>
      <c r="BN11" s="24"/>
      <c r="BO11" s="28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9"/>
      <c r="CA11" s="28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9"/>
    </row>
    <row r="12" customFormat="false" ht="45" hidden="false" customHeight="true" outlineLevel="0" collapsed="false">
      <c r="B12" s="24"/>
      <c r="C12" s="25" t="s">
        <v>20</v>
      </c>
      <c r="D12" s="35"/>
      <c r="E12" s="35" t="s">
        <v>18</v>
      </c>
      <c r="F12" s="26" t="s">
        <v>19</v>
      </c>
      <c r="G12" s="27" t="n">
        <f aca="false">S12+AE12+AQ12+BC12+BO12+CA12</f>
        <v>18</v>
      </c>
      <c r="H12" s="33" t="n">
        <f aca="false">T12+AF12+AR12+BD12+BP12+CB12</f>
        <v>23</v>
      </c>
      <c r="I12" s="33" t="n">
        <f aca="false">U12+AG12+AS12+BE12+BQ12+CC12</f>
        <v>19</v>
      </c>
      <c r="J12" s="33" t="n">
        <f aca="false">V12+AH12+AT12+BF12+BR12+CD12</f>
        <v>21</v>
      </c>
      <c r="K12" s="33" t="n">
        <f aca="false">W12+AI12+AU12+BG12+BS12+CE12</f>
        <v>13</v>
      </c>
      <c r="L12" s="33" t="n">
        <f aca="false">X12+AJ12+AV12+BH12+BT12+CF12</f>
        <v>16</v>
      </c>
      <c r="M12" s="33" t="n">
        <f aca="false">Y12+AK12+AW12+BI12+BU12+CG12</f>
        <v>0</v>
      </c>
      <c r="N12" s="33" t="n">
        <f aca="false">Z12+AL12+AX12+BJ12+BV12+CH12</f>
        <v>0</v>
      </c>
      <c r="O12" s="33" t="n">
        <f aca="false">AA12+AM12+AY12+BK12+BW12+CI12</f>
        <v>0</v>
      </c>
      <c r="P12" s="33" t="n">
        <f aca="false">AB12+AN12+AZ12+BL12+BX12+CJ12</f>
        <v>0</v>
      </c>
      <c r="Q12" s="33" t="n">
        <f aca="false">AC12+AO12+BA12+BM12+BY12+CK12</f>
        <v>0</v>
      </c>
      <c r="R12" s="34" t="n">
        <f aca="false">AD12+AP12+BB12+BN12+BZ12+CL12</f>
        <v>0</v>
      </c>
      <c r="S12" s="28" t="n">
        <v>6</v>
      </c>
      <c r="T12" s="24" t="n">
        <v>8</v>
      </c>
      <c r="U12" s="24" t="n">
        <v>2</v>
      </c>
      <c r="V12" s="24" t="n">
        <v>3</v>
      </c>
      <c r="W12" s="24" t="n">
        <v>4</v>
      </c>
      <c r="X12" s="24" t="n">
        <v>6</v>
      </c>
      <c r="Y12" s="24"/>
      <c r="Z12" s="24"/>
      <c r="AA12" s="24"/>
      <c r="AB12" s="24"/>
      <c r="AC12" s="24"/>
      <c r="AD12" s="29"/>
      <c r="AE12" s="28" t="n">
        <v>3</v>
      </c>
      <c r="AF12" s="24" t="n">
        <v>3</v>
      </c>
      <c r="AG12" s="24" t="n">
        <v>4</v>
      </c>
      <c r="AH12" s="24" t="n">
        <v>4</v>
      </c>
      <c r="AI12" s="24" t="n">
        <v>4</v>
      </c>
      <c r="AJ12" s="24" t="n">
        <v>4</v>
      </c>
      <c r="AK12" s="24"/>
      <c r="AL12" s="24"/>
      <c r="AM12" s="24"/>
      <c r="AN12" s="24"/>
      <c r="AO12" s="24"/>
      <c r="AP12" s="29"/>
      <c r="AQ12" s="28" t="n">
        <v>7</v>
      </c>
      <c r="AR12" s="24" t="n">
        <v>8</v>
      </c>
      <c r="AS12" s="24" t="n">
        <v>9</v>
      </c>
      <c r="AT12" s="24" t="n">
        <v>10</v>
      </c>
      <c r="AU12" s="24" t="n">
        <v>0</v>
      </c>
      <c r="AV12" s="24" t="n">
        <v>0</v>
      </c>
      <c r="AW12" s="24"/>
      <c r="AX12" s="24"/>
      <c r="AY12" s="24"/>
      <c r="AZ12" s="24"/>
      <c r="BA12" s="24"/>
      <c r="BB12" s="29"/>
      <c r="BC12" s="28" t="n">
        <v>2</v>
      </c>
      <c r="BD12" s="24" t="n">
        <v>4</v>
      </c>
      <c r="BE12" s="24" t="n">
        <v>4</v>
      </c>
      <c r="BF12" s="24" t="n">
        <v>4</v>
      </c>
      <c r="BG12" s="24" t="n">
        <v>5</v>
      </c>
      <c r="BH12" s="24" t="n">
        <v>6</v>
      </c>
      <c r="BI12" s="24"/>
      <c r="BJ12" s="24"/>
      <c r="BK12" s="24"/>
      <c r="BL12" s="24"/>
      <c r="BM12" s="24"/>
      <c r="BN12" s="29"/>
      <c r="BO12" s="28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9"/>
      <c r="CA12" s="28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9"/>
    </row>
    <row r="13" customFormat="false" ht="45" hidden="false" customHeight="true" outlineLevel="0" collapsed="false">
      <c r="B13" s="24"/>
      <c r="C13" s="25" t="s">
        <v>21</v>
      </c>
      <c r="D13" s="35" t="s">
        <v>22</v>
      </c>
      <c r="E13" s="35" t="s">
        <v>23</v>
      </c>
      <c r="F13" s="26" t="s">
        <v>19</v>
      </c>
      <c r="G13" s="27" t="n">
        <f aca="false">S13+AE13+AQ13+BC13+BO13+CA13</f>
        <v>56</v>
      </c>
      <c r="H13" s="33" t="n">
        <f aca="false">T13+AF13+AR13+BD13+BP13+CB13</f>
        <v>67</v>
      </c>
      <c r="I13" s="33" t="n">
        <f aca="false">U13+AG13+AS13+BE13+BQ13+CC13</f>
        <v>41</v>
      </c>
      <c r="J13" s="33" t="n">
        <f aca="false">V13+AH13+AT13+BF13+BR13+CD13</f>
        <v>44</v>
      </c>
      <c r="K13" s="33" t="n">
        <f aca="false">W13+AI13+AU13+BG13+BS13+CE13</f>
        <v>36</v>
      </c>
      <c r="L13" s="33" t="n">
        <f aca="false">X13+AJ13+AV13+BH13+BT13+CF13</f>
        <v>42</v>
      </c>
      <c r="M13" s="33" t="n">
        <f aca="false">Y13+AK13+AW13+BI13+BU13+CG13</f>
        <v>0</v>
      </c>
      <c r="N13" s="33" t="n">
        <f aca="false">Z13+AL13+AX13+BJ13+BV13+CH13</f>
        <v>0</v>
      </c>
      <c r="O13" s="33" t="n">
        <f aca="false">AA13+AM13+AY13+BK13+BW13+CI13</f>
        <v>0</v>
      </c>
      <c r="P13" s="33" t="n">
        <f aca="false">AB13+AN13+AZ13+BL13+BX13+CJ13</f>
        <v>0</v>
      </c>
      <c r="Q13" s="33" t="n">
        <f aca="false">AC13+AO13+BA13+BM13+BY13+CK13</f>
        <v>0</v>
      </c>
      <c r="R13" s="34" t="n">
        <f aca="false">AD13+AP13+BB13+BN13+BZ13+CL13</f>
        <v>0</v>
      </c>
      <c r="S13" s="28" t="n">
        <v>30</v>
      </c>
      <c r="T13" s="24" t="n">
        <v>40</v>
      </c>
      <c r="U13" s="24" t="n">
        <v>12</v>
      </c>
      <c r="V13" s="24" t="n">
        <v>16</v>
      </c>
      <c r="W13" s="24" t="n">
        <v>19</v>
      </c>
      <c r="X13" s="24" t="n">
        <v>25</v>
      </c>
      <c r="Y13" s="24"/>
      <c r="Z13" s="24"/>
      <c r="AA13" s="24"/>
      <c r="AB13" s="24"/>
      <c r="AC13" s="24"/>
      <c r="AD13" s="29"/>
      <c r="AE13" s="28" t="n">
        <v>13</v>
      </c>
      <c r="AF13" s="24" t="n">
        <v>11</v>
      </c>
      <c r="AG13" s="24" t="n">
        <v>14</v>
      </c>
      <c r="AH13" s="24" t="n">
        <v>15</v>
      </c>
      <c r="AI13" s="24" t="n">
        <v>10</v>
      </c>
      <c r="AJ13" s="24" t="n">
        <v>9</v>
      </c>
      <c r="AK13" s="24"/>
      <c r="AL13" s="24"/>
      <c r="AM13" s="24"/>
      <c r="AN13" s="24"/>
      <c r="AO13" s="24"/>
      <c r="AP13" s="29"/>
      <c r="AQ13" s="28" t="n">
        <v>6</v>
      </c>
      <c r="AR13" s="24" t="n">
        <v>8</v>
      </c>
      <c r="AS13" s="24" t="n">
        <v>9</v>
      </c>
      <c r="AT13" s="24" t="n">
        <v>8</v>
      </c>
      <c r="AU13" s="24" t="n">
        <v>0</v>
      </c>
      <c r="AV13" s="24" t="n">
        <v>0</v>
      </c>
      <c r="AW13" s="24"/>
      <c r="AX13" s="24"/>
      <c r="AY13" s="24"/>
      <c r="AZ13" s="24"/>
      <c r="BA13" s="24"/>
      <c r="BB13" s="29"/>
      <c r="BC13" s="28" t="n">
        <v>7</v>
      </c>
      <c r="BD13" s="24" t="n">
        <v>8</v>
      </c>
      <c r="BE13" s="24" t="n">
        <v>6</v>
      </c>
      <c r="BF13" s="24" t="n">
        <v>5</v>
      </c>
      <c r="BG13" s="24" t="n">
        <v>7</v>
      </c>
      <c r="BH13" s="24" t="n">
        <v>8</v>
      </c>
      <c r="BI13" s="24"/>
      <c r="BJ13" s="24"/>
      <c r="BK13" s="24"/>
      <c r="BL13" s="24"/>
      <c r="BM13" s="24"/>
      <c r="BN13" s="29"/>
      <c r="BO13" s="28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9"/>
      <c r="CA13" s="28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9"/>
    </row>
    <row r="14" customFormat="false" ht="45" hidden="false" customHeight="true" outlineLevel="0" collapsed="false">
      <c r="B14" s="24"/>
      <c r="C14" s="25" t="s">
        <v>24</v>
      </c>
      <c r="D14" s="35"/>
      <c r="E14" s="35" t="s">
        <v>23</v>
      </c>
      <c r="F14" s="26" t="s">
        <v>19</v>
      </c>
      <c r="G14" s="27" t="n">
        <f aca="false">S14+AE14+AQ14+BC14+BO14+CA14</f>
        <v>15</v>
      </c>
      <c r="H14" s="33" t="n">
        <f aca="false">T14+AF14+AR14+BD14+BP14+CB14</f>
        <v>19</v>
      </c>
      <c r="I14" s="33" t="n">
        <f aca="false">U14+AG14+AS14+BE14+BQ14+CC14</f>
        <v>13</v>
      </c>
      <c r="J14" s="33" t="n">
        <f aca="false">V14+AH14+AT14+BF14+BR14+CD14</f>
        <v>15</v>
      </c>
      <c r="K14" s="33" t="n">
        <f aca="false">W14+AI14+AU14+BG14+BS14+CE14</f>
        <v>12</v>
      </c>
      <c r="L14" s="33" t="n">
        <f aca="false">X14+AJ14+AV14+BH14+BT14+CF14</f>
        <v>14</v>
      </c>
      <c r="M14" s="33" t="n">
        <f aca="false">Y14+AK14+AW14+BI14+BU14+CG14</f>
        <v>0</v>
      </c>
      <c r="N14" s="33" t="n">
        <f aca="false">Z14+AL14+AX14+BJ14+BV14+CH14</f>
        <v>0</v>
      </c>
      <c r="O14" s="33" t="n">
        <f aca="false">AA14+AM14+AY14+BK14+BW14+CI14</f>
        <v>0</v>
      </c>
      <c r="P14" s="33" t="n">
        <f aca="false">AB14+AN14+AZ14+BL14+BX14+CJ14</f>
        <v>0</v>
      </c>
      <c r="Q14" s="33" t="n">
        <f aca="false">AC14+AO14+BA14+BM14+BY14+CK14</f>
        <v>0</v>
      </c>
      <c r="R14" s="34" t="n">
        <f aca="false">AD14+AP14+BB14+BN14+BZ14+CL14</f>
        <v>0</v>
      </c>
      <c r="S14" s="28" t="n">
        <v>6</v>
      </c>
      <c r="T14" s="24" t="n">
        <v>8</v>
      </c>
      <c r="U14" s="24" t="n">
        <v>2</v>
      </c>
      <c r="V14" s="24" t="n">
        <v>3</v>
      </c>
      <c r="W14" s="24" t="n">
        <v>4</v>
      </c>
      <c r="X14" s="24" t="n">
        <v>6</v>
      </c>
      <c r="Y14" s="24"/>
      <c r="Z14" s="24"/>
      <c r="AA14" s="24"/>
      <c r="AB14" s="24"/>
      <c r="AC14" s="24"/>
      <c r="AD14" s="29"/>
      <c r="AE14" s="28" t="n">
        <v>4</v>
      </c>
      <c r="AF14" s="24" t="n">
        <v>4</v>
      </c>
      <c r="AG14" s="24" t="n">
        <v>4</v>
      </c>
      <c r="AH14" s="24" t="n">
        <v>5</v>
      </c>
      <c r="AI14" s="24" t="n">
        <v>3</v>
      </c>
      <c r="AJ14" s="24" t="n">
        <v>2</v>
      </c>
      <c r="AK14" s="24"/>
      <c r="AL14" s="24"/>
      <c r="AM14" s="24"/>
      <c r="AN14" s="24"/>
      <c r="AO14" s="24"/>
      <c r="AP14" s="29"/>
      <c r="AQ14" s="28" t="n">
        <v>3</v>
      </c>
      <c r="AR14" s="24" t="n">
        <v>3</v>
      </c>
      <c r="AS14" s="24" t="n">
        <v>3</v>
      </c>
      <c r="AT14" s="24" t="n">
        <v>3</v>
      </c>
      <c r="AU14" s="24" t="n">
        <v>0</v>
      </c>
      <c r="AV14" s="24" t="n">
        <v>0</v>
      </c>
      <c r="AW14" s="24"/>
      <c r="AX14" s="24"/>
      <c r="AY14" s="24"/>
      <c r="AZ14" s="24"/>
      <c r="BA14" s="24"/>
      <c r="BB14" s="29"/>
      <c r="BC14" s="28" t="n">
        <v>2</v>
      </c>
      <c r="BD14" s="24" t="n">
        <v>4</v>
      </c>
      <c r="BE14" s="24" t="n">
        <v>4</v>
      </c>
      <c r="BF14" s="24" t="n">
        <v>4</v>
      </c>
      <c r="BG14" s="24" t="n">
        <v>5</v>
      </c>
      <c r="BH14" s="24" t="n">
        <v>6</v>
      </c>
      <c r="BI14" s="24"/>
      <c r="BJ14" s="24"/>
      <c r="BK14" s="24"/>
      <c r="BL14" s="24"/>
      <c r="BM14" s="24"/>
      <c r="BN14" s="29"/>
      <c r="BO14" s="28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9"/>
      <c r="CA14" s="28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9"/>
    </row>
    <row r="15" customFormat="false" ht="45" hidden="false" customHeight="true" outlineLevel="0" collapsed="false">
      <c r="B15" s="24"/>
      <c r="C15" s="25" t="s">
        <v>25</v>
      </c>
      <c r="D15" s="35" t="s">
        <v>26</v>
      </c>
      <c r="E15" s="35" t="s">
        <v>27</v>
      </c>
      <c r="F15" s="26" t="s">
        <v>19</v>
      </c>
      <c r="G15" s="27" t="n">
        <f aca="false">S15+AE15+AQ15+BC15+BO15+CA15</f>
        <v>1000</v>
      </c>
      <c r="H15" s="33" t="n">
        <f aca="false">T15+AF15+AR15+BD15+BP15+CB15</f>
        <v>980</v>
      </c>
      <c r="I15" s="33" t="n">
        <f aca="false">U15+AG15+AS15+BE15+BQ15+CC15</f>
        <v>1010</v>
      </c>
      <c r="J15" s="33" t="n">
        <f aca="false">V15+AH15+AT15+BF15+BR15+CD15</f>
        <v>950</v>
      </c>
      <c r="K15" s="33" t="n">
        <f aca="false">W15+AI15+AU15+BG15+BS15+CE15</f>
        <v>1050</v>
      </c>
      <c r="L15" s="33" t="n">
        <f aca="false">X15+AJ15+AV15+BH15+BT15+CF15</f>
        <v>1240</v>
      </c>
      <c r="M15" s="33" t="n">
        <f aca="false">Y15+AK15+AW15+BI15+BU15+CG15</f>
        <v>0</v>
      </c>
      <c r="N15" s="33" t="n">
        <f aca="false">Z15+AL15+AX15+BJ15+BV15+CH15</f>
        <v>0</v>
      </c>
      <c r="O15" s="33" t="n">
        <f aca="false">AA15+AM15+AY15+BK15+BW15+CI15</f>
        <v>0</v>
      </c>
      <c r="P15" s="33" t="n">
        <f aca="false">AB15+AN15+AZ15+BL15+BX15+CJ15</f>
        <v>0</v>
      </c>
      <c r="Q15" s="33" t="n">
        <f aca="false">AC15+AO15+BA15+BM15+BY15+CK15</f>
        <v>0</v>
      </c>
      <c r="R15" s="34" t="n">
        <f aca="false">AD15+AP15+BB15+BN15+BZ15+CL15</f>
        <v>0</v>
      </c>
      <c r="S15" s="28" t="n">
        <v>400</v>
      </c>
      <c r="T15" s="24" t="n">
        <v>400</v>
      </c>
      <c r="U15" s="24" t="n">
        <v>400</v>
      </c>
      <c r="V15" s="24" t="n">
        <v>450</v>
      </c>
      <c r="W15" s="24" t="n">
        <v>500</v>
      </c>
      <c r="X15" s="24" t="n">
        <v>600</v>
      </c>
      <c r="Y15" s="24"/>
      <c r="Z15" s="24"/>
      <c r="AA15" s="24"/>
      <c r="AB15" s="24"/>
      <c r="AC15" s="24"/>
      <c r="AD15" s="29"/>
      <c r="AE15" s="28" t="n">
        <v>350</v>
      </c>
      <c r="AF15" s="24" t="n">
        <v>380</v>
      </c>
      <c r="AG15" s="24" t="n">
        <v>310</v>
      </c>
      <c r="AH15" s="24" t="n">
        <v>320</v>
      </c>
      <c r="AI15" s="24" t="n">
        <v>340</v>
      </c>
      <c r="AJ15" s="24" t="n">
        <v>420</v>
      </c>
      <c r="AK15" s="24"/>
      <c r="AL15" s="24"/>
      <c r="AM15" s="24"/>
      <c r="AN15" s="24"/>
      <c r="AO15" s="24"/>
      <c r="AP15" s="29"/>
      <c r="AQ15" s="28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/>
      <c r="AX15" s="24"/>
      <c r="AY15" s="24"/>
      <c r="AZ15" s="24"/>
      <c r="BA15" s="24"/>
      <c r="BB15" s="29"/>
      <c r="BC15" s="28" t="n">
        <v>250</v>
      </c>
      <c r="BD15" s="24" t="n">
        <v>200</v>
      </c>
      <c r="BE15" s="24" t="n">
        <v>300</v>
      </c>
      <c r="BF15" s="24" t="n">
        <v>180</v>
      </c>
      <c r="BG15" s="24" t="n">
        <v>210</v>
      </c>
      <c r="BH15" s="24" t="n">
        <v>220</v>
      </c>
      <c r="BI15" s="24"/>
      <c r="BJ15" s="24"/>
      <c r="BK15" s="24"/>
      <c r="BL15" s="24"/>
      <c r="BM15" s="24"/>
      <c r="BN15" s="29"/>
      <c r="BO15" s="28" t="n">
        <v>0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9"/>
      <c r="CA15" s="28" t="n">
        <v>0</v>
      </c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9"/>
    </row>
    <row r="16" customFormat="false" ht="45" hidden="false" customHeight="true" outlineLevel="0" collapsed="false">
      <c r="B16" s="24"/>
      <c r="C16" s="25" t="s">
        <v>28</v>
      </c>
      <c r="D16" s="35"/>
      <c r="E16" s="35" t="s">
        <v>29</v>
      </c>
      <c r="F16" s="26" t="s">
        <v>19</v>
      </c>
      <c r="G16" s="27" t="n">
        <f aca="false">S16+AE16+AQ16+BC16+BO16+CA16</f>
        <v>3600</v>
      </c>
      <c r="H16" s="33" t="n">
        <f aca="false">T16+AF16+AR16+BD16+BP16+CB16</f>
        <v>4200</v>
      </c>
      <c r="I16" s="33" t="n">
        <f aca="false">U16+AG16+AS16+BE16+BQ16+CC16</f>
        <v>4530</v>
      </c>
      <c r="J16" s="33" t="n">
        <f aca="false">V16+AH16+AT16+BF16+BR16+CD16</f>
        <v>4320</v>
      </c>
      <c r="K16" s="33" t="n">
        <f aca="false">W16+AI16+AU16+BG16+BS16+CE16</f>
        <v>4050</v>
      </c>
      <c r="L16" s="33" t="n">
        <f aca="false">X16+AJ16+AV16+BH16+BT16+CF16</f>
        <v>4580</v>
      </c>
      <c r="M16" s="33" t="n">
        <f aca="false">Y16+AK16+AW16+BI16+BU16+CG16</f>
        <v>0</v>
      </c>
      <c r="N16" s="33" t="n">
        <f aca="false">Z16+AL16+AX16+BJ16+BV16+CH16</f>
        <v>0</v>
      </c>
      <c r="O16" s="33" t="n">
        <f aca="false">AA16+AM16+AY16+BK16+BW16+CI16</f>
        <v>0</v>
      </c>
      <c r="P16" s="33" t="n">
        <f aca="false">AB16+AN16+AZ16+BL16+BX16+CJ16</f>
        <v>0</v>
      </c>
      <c r="Q16" s="33" t="n">
        <f aca="false">AC16+AO16+BA16+BM16+BY16+CK16</f>
        <v>0</v>
      </c>
      <c r="R16" s="34" t="n">
        <f aca="false">AD16+AP16+BB16+BN16+BZ16+CL16</f>
        <v>0</v>
      </c>
      <c r="S16" s="28" t="n">
        <v>1200</v>
      </c>
      <c r="T16" s="24" t="n">
        <v>1500</v>
      </c>
      <c r="U16" s="24" t="n">
        <v>1600</v>
      </c>
      <c r="V16" s="24" t="n">
        <v>1300</v>
      </c>
      <c r="W16" s="24" t="n">
        <v>1500</v>
      </c>
      <c r="X16" s="24" t="n">
        <v>1700</v>
      </c>
      <c r="Y16" s="24"/>
      <c r="Z16" s="24"/>
      <c r="AA16" s="24"/>
      <c r="AB16" s="24"/>
      <c r="AC16" s="24"/>
      <c r="AD16" s="29"/>
      <c r="AE16" s="28" t="n">
        <v>1200</v>
      </c>
      <c r="AF16" s="24" t="n">
        <v>1700</v>
      </c>
      <c r="AG16" s="24" t="n">
        <v>1900</v>
      </c>
      <c r="AH16" s="24" t="n">
        <v>2000</v>
      </c>
      <c r="AI16" s="24" t="n">
        <v>2200</v>
      </c>
      <c r="AJ16" s="24" t="n">
        <v>2500</v>
      </c>
      <c r="AK16" s="24"/>
      <c r="AL16" s="24"/>
      <c r="AM16" s="24"/>
      <c r="AN16" s="24"/>
      <c r="AO16" s="24"/>
      <c r="AP16" s="29"/>
      <c r="AQ16" s="28" t="n">
        <v>600</v>
      </c>
      <c r="AR16" s="24" t="n">
        <v>550</v>
      </c>
      <c r="AS16" s="24" t="n">
        <v>530</v>
      </c>
      <c r="AT16" s="24" t="n">
        <v>620</v>
      </c>
      <c r="AU16" s="24" t="n">
        <v>0</v>
      </c>
      <c r="AV16" s="24" t="n">
        <v>0</v>
      </c>
      <c r="AW16" s="24"/>
      <c r="AX16" s="24"/>
      <c r="AY16" s="24"/>
      <c r="AZ16" s="24"/>
      <c r="BA16" s="24"/>
      <c r="BB16" s="29"/>
      <c r="BC16" s="28" t="n">
        <v>600</v>
      </c>
      <c r="BD16" s="24" t="n">
        <v>450</v>
      </c>
      <c r="BE16" s="24" t="n">
        <v>500</v>
      </c>
      <c r="BF16" s="24" t="n">
        <v>400</v>
      </c>
      <c r="BG16" s="24" t="n">
        <v>350</v>
      </c>
      <c r="BH16" s="24" t="n">
        <v>380</v>
      </c>
      <c r="BI16" s="24"/>
      <c r="BJ16" s="24"/>
      <c r="BK16" s="24"/>
      <c r="BL16" s="24"/>
      <c r="BM16" s="24"/>
      <c r="BN16" s="29"/>
      <c r="BO16" s="28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9"/>
      <c r="CA16" s="28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9"/>
    </row>
    <row r="17" customFormat="false" ht="45" hidden="false" customHeight="true" outlineLevel="0" collapsed="false">
      <c r="B17" s="24"/>
      <c r="C17" s="25" t="s">
        <v>30</v>
      </c>
      <c r="D17" s="35"/>
      <c r="E17" s="35" t="s">
        <v>29</v>
      </c>
      <c r="F17" s="26" t="s">
        <v>19</v>
      </c>
      <c r="G17" s="27" t="n">
        <f aca="false">S17+AE17+AQ17+BC17+BO17+CA17</f>
        <v>0</v>
      </c>
      <c r="H17" s="36" t="n">
        <f aca="false">T17+AF17+AR17+BD17+BP17+CB17</f>
        <v>0</v>
      </c>
      <c r="I17" s="36" t="n">
        <f aca="false">U17+AG17+AS17+BE17+BQ17+CC17</f>
        <v>0</v>
      </c>
      <c r="J17" s="36" t="n">
        <f aca="false">V17+AH17+AT17+BF17+BR17+CD17</f>
        <v>0</v>
      </c>
      <c r="K17" s="36" t="n">
        <f aca="false">W17+AI17+AU17+BG17+BS17+CE17</f>
        <v>0</v>
      </c>
      <c r="L17" s="36" t="n">
        <f aca="false">X17+AJ17+AV17+BH17+BT17+CF17</f>
        <v>0</v>
      </c>
      <c r="M17" s="36" t="n">
        <f aca="false">Y17+AK17+AW17+BI17+BU17+CG17</f>
        <v>0</v>
      </c>
      <c r="N17" s="36" t="n">
        <f aca="false">Z17+AL17+AX17+BJ17+BV17+CH17</f>
        <v>0</v>
      </c>
      <c r="O17" s="36" t="n">
        <f aca="false">AA17+AM17+AY17+BK17+BW17+CI17</f>
        <v>0</v>
      </c>
      <c r="P17" s="36" t="n">
        <f aca="false">AB17+AN17+AZ17+BL17+BX17+CJ17</f>
        <v>0</v>
      </c>
      <c r="Q17" s="36" t="n">
        <f aca="false">AC17+AO17+BA17+BM17+BY17+CK17</f>
        <v>0</v>
      </c>
      <c r="R17" s="37" t="n">
        <f aca="false">AD17+AP17+BB17+BN17+BZ17+CL17</f>
        <v>0</v>
      </c>
      <c r="S17" s="38" t="n">
        <v>0</v>
      </c>
      <c r="T17" s="39" t="n">
        <v>0</v>
      </c>
      <c r="U17" s="39" t="n">
        <v>0</v>
      </c>
      <c r="V17" s="39" t="n">
        <v>0</v>
      </c>
      <c r="W17" s="39" t="n">
        <v>0</v>
      </c>
      <c r="X17" s="39" t="n">
        <v>0</v>
      </c>
      <c r="Y17" s="39"/>
      <c r="Z17" s="39"/>
      <c r="AA17" s="39"/>
      <c r="AB17" s="39"/>
      <c r="AC17" s="39"/>
      <c r="AD17" s="40"/>
      <c r="AE17" s="38" t="n">
        <v>0</v>
      </c>
      <c r="AF17" s="39" t="n">
        <v>0</v>
      </c>
      <c r="AG17" s="39" t="n">
        <v>0</v>
      </c>
      <c r="AH17" s="39" t="n">
        <v>0</v>
      </c>
      <c r="AI17" s="39" t="n">
        <v>0</v>
      </c>
      <c r="AJ17" s="39" t="n">
        <v>0</v>
      </c>
      <c r="AK17" s="39"/>
      <c r="AL17" s="39"/>
      <c r="AM17" s="39"/>
      <c r="AN17" s="39"/>
      <c r="AO17" s="39"/>
      <c r="AP17" s="40"/>
      <c r="AQ17" s="38" t="n">
        <v>0</v>
      </c>
      <c r="AR17" s="39" t="n">
        <v>0</v>
      </c>
      <c r="AS17" s="39" t="n">
        <v>0</v>
      </c>
      <c r="AT17" s="39" t="n">
        <v>0</v>
      </c>
      <c r="AU17" s="39" t="n">
        <v>0</v>
      </c>
      <c r="AV17" s="39" t="n">
        <v>0</v>
      </c>
      <c r="AW17" s="39"/>
      <c r="AX17" s="39"/>
      <c r="AY17" s="39"/>
      <c r="AZ17" s="39"/>
      <c r="BA17" s="39"/>
      <c r="BB17" s="40"/>
      <c r="BC17" s="38" t="n">
        <v>0</v>
      </c>
      <c r="BD17" s="39" t="n">
        <v>0</v>
      </c>
      <c r="BE17" s="39" t="n">
        <v>0</v>
      </c>
      <c r="BF17" s="39" t="n">
        <v>0</v>
      </c>
      <c r="BG17" s="39" t="n">
        <v>0</v>
      </c>
      <c r="BH17" s="39" t="n">
        <v>0</v>
      </c>
      <c r="BI17" s="39"/>
      <c r="BJ17" s="39"/>
      <c r="BK17" s="39"/>
      <c r="BL17" s="39"/>
      <c r="BM17" s="39"/>
      <c r="BN17" s="40"/>
      <c r="BO17" s="38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40"/>
      <c r="CA17" s="38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40"/>
    </row>
    <row r="18" customFormat="false" ht="15" hidden="false" customHeight="false" outlineLevel="0" collapsed="false">
      <c r="B18" s="41"/>
      <c r="C18" s="42"/>
      <c r="D18" s="42"/>
      <c r="E18" s="42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customFormat="false" ht="15" hidden="false" customHeight="false" outlineLevel="0" collapsed="false">
      <c r="B19" s="41"/>
      <c r="C19" s="42"/>
      <c r="D19" s="42"/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</row>
    <row r="20" customFormat="false" ht="15" hidden="false" customHeight="false" outlineLevel="0" collapsed="false">
      <c r="B20" s="41"/>
      <c r="C20" s="42"/>
      <c r="D20" s="42"/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</row>
    <row r="21" customFormat="false" ht="15" hidden="false" customHeight="false" outlineLevel="0" collapsed="false">
      <c r="B21" s="41"/>
      <c r="C21" s="42"/>
      <c r="D21" s="42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</row>
    <row r="22" customFormat="false" ht="15" hidden="false" customHeight="false" outlineLevel="0" collapsed="false">
      <c r="B22" s="41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</row>
    <row r="23" customFormat="false" ht="15" hidden="false" customHeight="false" outlineLevel="0" collapsed="false">
      <c r="B23" s="41"/>
      <c r="C23" s="42"/>
      <c r="D23" s="42"/>
      <c r="E23" s="42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</row>
    <row r="24" customFormat="false" ht="15" hidden="false" customHeight="false" outlineLevel="0" collapsed="false">
      <c r="B24" s="41"/>
      <c r="C24" s="42"/>
      <c r="D24" s="42"/>
      <c r="E24" s="44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</row>
    <row r="25" customFormat="false" ht="15" hidden="false" customHeight="false" outlineLevel="0" collapsed="false">
      <c r="B25" s="41"/>
      <c r="C25" s="42"/>
      <c r="D25" s="42"/>
      <c r="E25" s="44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</row>
    <row r="26" customFormat="false" ht="15" hidden="false" customHeight="false" outlineLevel="0" collapsed="false">
      <c r="B26" s="41"/>
      <c r="C26" s="42"/>
      <c r="D26" s="42"/>
      <c r="E26" s="44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customFormat="false" ht="15" hidden="false" customHeight="false" outlineLevel="0" collapsed="false">
      <c r="B27" s="41"/>
      <c r="C27" s="42"/>
      <c r="D27" s="42"/>
      <c r="E27" s="44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customFormat="false" ht="15" hidden="false" customHeight="false" outlineLevel="0" collapsed="false">
      <c r="B28" s="41"/>
      <c r="C28" s="42"/>
      <c r="D28" s="42"/>
      <c r="E28" s="44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customFormat="false" ht="15" hidden="false" customHeight="false" outlineLevel="0" collapsed="false">
      <c r="B29" s="41"/>
      <c r="C29" s="42"/>
      <c r="D29" s="42"/>
      <c r="E29" s="44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customFormat="false" ht="15" hidden="false" customHeight="false" outlineLevel="0" collapsed="false">
      <c r="B30" s="41"/>
      <c r="C30" s="42"/>
      <c r="D30" s="42"/>
      <c r="E30" s="44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customFormat="false" ht="15" hidden="false" customHeight="false" outlineLevel="0" collapsed="false">
      <c r="B31" s="41"/>
      <c r="C31" s="42"/>
      <c r="D31" s="42"/>
      <c r="E31" s="42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customFormat="false" ht="15" hidden="false" customHeight="false" outlineLevel="0" collapsed="false">
      <c r="B32" s="41"/>
      <c r="C32" s="42"/>
      <c r="D32" s="42"/>
      <c r="E32" s="42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customFormat="false" ht="15" hidden="false" customHeight="false" outlineLevel="0" collapsed="false">
      <c r="B33" s="41"/>
      <c r="C33" s="42"/>
      <c r="D33" s="42"/>
      <c r="E33" s="42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customFormat="false" ht="15" hidden="false" customHeight="false" outlineLevel="0" collapsed="false">
      <c r="B34" s="41"/>
      <c r="C34" s="42"/>
      <c r="D34" s="42"/>
      <c r="E34" s="42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customFormat="false" ht="15" hidden="false" customHeight="false" outlineLevel="0" collapsed="false">
      <c r="B35" s="41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customFormat="false" ht="15" hidden="false" customHeight="false" outlineLevel="0" collapsed="false">
      <c r="B36" s="41"/>
      <c r="C36" s="42"/>
      <c r="D36" s="42"/>
      <c r="E36" s="42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customFormat="false" ht="15" hidden="false" customHeight="false" outlineLevel="0" collapsed="false">
      <c r="B37" s="41"/>
      <c r="C37" s="42"/>
      <c r="D37" s="42"/>
      <c r="E37" s="44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customFormat="false" ht="15" hidden="false" customHeight="false" outlineLevel="0" collapsed="false">
      <c r="B38" s="41"/>
      <c r="C38" s="42"/>
      <c r="D38" s="42"/>
      <c r="E38" s="44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customFormat="false" ht="15" hidden="false" customHeight="false" outlineLevel="0" collapsed="false">
      <c r="B39" s="41"/>
      <c r="C39" s="42"/>
      <c r="D39" s="42"/>
      <c r="E39" s="44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customFormat="false" ht="15" hidden="false" customHeight="false" outlineLevel="0" collapsed="false">
      <c r="B40" s="41"/>
      <c r="C40" s="42"/>
      <c r="D40" s="42"/>
      <c r="E40" s="44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customFormat="false" ht="15" hidden="false" customHeight="false" outlineLevel="0" collapsed="false">
      <c r="B41" s="41"/>
      <c r="C41" s="42"/>
      <c r="D41" s="42"/>
      <c r="E41" s="44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customFormat="false" ht="15" hidden="false" customHeight="false" outlineLevel="0" collapsed="false">
      <c r="B42" s="41"/>
      <c r="C42" s="42"/>
      <c r="D42" s="42"/>
      <c r="E42" s="44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customFormat="false" ht="15" hidden="false" customHeight="false" outlineLevel="0" collapsed="false">
      <c r="B43" s="41"/>
      <c r="C43" s="42"/>
      <c r="D43" s="42"/>
      <c r="E43" s="44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customFormat="false" ht="15" hidden="false" customHeight="false" outlineLevel="0" collapsed="false">
      <c r="B44" s="41"/>
      <c r="C44" s="42"/>
      <c r="D44" s="42"/>
      <c r="E44" s="42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customFormat="false" ht="15" hidden="false" customHeight="false" outlineLevel="0" collapsed="false">
      <c r="B45" s="41"/>
      <c r="C45" s="42"/>
      <c r="D45" s="42"/>
      <c r="E45" s="42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customFormat="false" ht="15" hidden="false" customHeight="false" outlineLevel="0" collapsed="false">
      <c r="B46" s="41"/>
      <c r="C46" s="42"/>
      <c r="D46" s="42"/>
      <c r="E46" s="42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customFormat="false" ht="15" hidden="false" customHeight="false" outlineLevel="0" collapsed="false">
      <c r="B47" s="41"/>
      <c r="C47" s="42"/>
      <c r="D47" s="42"/>
      <c r="E47" s="42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customFormat="false" ht="15" hidden="false" customHeight="false" outlineLevel="0" collapsed="false">
      <c r="B48" s="41"/>
      <c r="C48" s="42"/>
      <c r="D48" s="42"/>
      <c r="E48" s="42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customFormat="false" ht="15" hidden="false" customHeight="false" outlineLevel="0" collapsed="false">
      <c r="B49" s="41"/>
      <c r="C49" s="42"/>
      <c r="D49" s="42"/>
      <c r="E49" s="42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customFormat="false" ht="15" hidden="false" customHeight="false" outlineLevel="0" collapsed="false">
      <c r="B50" s="41"/>
      <c r="C50" s="42"/>
      <c r="D50" s="42"/>
      <c r="E50" s="44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customFormat="false" ht="15" hidden="false" customHeight="false" outlineLevel="0" collapsed="false">
      <c r="B51" s="41"/>
      <c r="C51" s="42"/>
      <c r="D51" s="42"/>
      <c r="E51" s="44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customFormat="false" ht="15" hidden="false" customHeight="false" outlineLevel="0" collapsed="false">
      <c r="B52" s="41"/>
      <c r="C52" s="42"/>
      <c r="D52" s="42"/>
      <c r="E52" s="44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customFormat="false" ht="15" hidden="false" customHeight="false" outlineLevel="0" collapsed="false">
      <c r="B53" s="41"/>
      <c r="C53" s="42"/>
      <c r="D53" s="42"/>
      <c r="E53" s="44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customFormat="false" ht="15" hidden="false" customHeight="false" outlineLevel="0" collapsed="false">
      <c r="B54" s="41"/>
      <c r="C54" s="42"/>
      <c r="D54" s="42"/>
      <c r="E54" s="44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customFormat="false" ht="15" hidden="false" customHeight="false" outlineLevel="0" collapsed="false">
      <c r="B55" s="41"/>
      <c r="C55" s="42"/>
      <c r="D55" s="42"/>
      <c r="E55" s="44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customFormat="false" ht="15" hidden="false" customHeight="false" outlineLevel="0" collapsed="false">
      <c r="B56" s="41"/>
      <c r="C56" s="42"/>
      <c r="D56" s="42"/>
      <c r="E56" s="44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</sheetData>
  <mergeCells count="11">
    <mergeCell ref="G3:R3"/>
    <mergeCell ref="S3:AD3"/>
    <mergeCell ref="AE3:AP3"/>
    <mergeCell ref="AQ3:BB3"/>
    <mergeCell ref="BC3:BN3"/>
    <mergeCell ref="BO3:BZ3"/>
    <mergeCell ref="CA3:CL3"/>
    <mergeCell ref="B5:B17"/>
    <mergeCell ref="D11:D12"/>
    <mergeCell ref="D13:D14"/>
    <mergeCell ref="D15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Y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44.85"/>
    <col collapsed="false" customWidth="true" hidden="false" outlineLevel="0" max="4" min="4" style="1" width="35.43"/>
    <col collapsed="false" customWidth="true" hidden="false" outlineLevel="0" max="5" min="5" style="0" width="9.29"/>
    <col collapsed="false" customWidth="true" hidden="false" outlineLevel="0" max="11" min="6" style="0" width="9.71"/>
    <col collapsed="false" customWidth="true" hidden="false" outlineLevel="0" max="31" min="31" style="0" width="9.29"/>
    <col collapsed="false" customWidth="true" hidden="false" outlineLevel="0" max="35" min="33" style="0" width="9.29"/>
    <col collapsed="false" customWidth="true" hidden="false" outlineLevel="0" max="55" min="55" style="0" width="9.29"/>
    <col collapsed="false" customWidth="true" hidden="false" outlineLevel="0" max="57" min="57" style="0" width="9.29"/>
  </cols>
  <sheetData>
    <row r="2" customFormat="false" ht="15.75" hidden="false" customHeight="true" outlineLevel="0" collapsed="false"/>
    <row r="3" customFormat="false" ht="30" hidden="false" customHeight="true" outlineLevel="0" collapsed="false">
      <c r="B3" s="2"/>
      <c r="F3" s="13" t="s">
        <v>31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 t="s">
        <v>36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39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 t="s">
        <v>40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 t="s">
        <v>41</v>
      </c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 t="s">
        <v>37</v>
      </c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</row>
    <row r="4" customFormat="false" ht="32.25" hidden="false" customHeight="true" outlineLevel="0" collapsed="false">
      <c r="B4" s="15" t="s">
        <v>38</v>
      </c>
      <c r="C4" s="16" t="s">
        <v>1</v>
      </c>
      <c r="D4" s="16" t="s">
        <v>2</v>
      </c>
      <c r="E4" s="17" t="s">
        <v>4</v>
      </c>
      <c r="F4" s="18" t="n">
        <v>46023</v>
      </c>
      <c r="G4" s="19" t="n">
        <v>46054</v>
      </c>
      <c r="H4" s="19" t="n">
        <v>46082</v>
      </c>
      <c r="I4" s="19" t="n">
        <v>46113</v>
      </c>
      <c r="J4" s="19" t="n">
        <v>46143</v>
      </c>
      <c r="K4" s="19" t="n">
        <v>46174</v>
      </c>
      <c r="L4" s="19" t="n">
        <v>46204</v>
      </c>
      <c r="M4" s="19" t="n">
        <v>46235</v>
      </c>
      <c r="N4" s="19" t="n">
        <v>46266</v>
      </c>
      <c r="O4" s="19" t="n">
        <v>46296</v>
      </c>
      <c r="P4" s="19" t="n">
        <v>46327</v>
      </c>
      <c r="Q4" s="20" t="n">
        <v>46357</v>
      </c>
      <c r="R4" s="21" t="n">
        <v>46023</v>
      </c>
      <c r="S4" s="22" t="n">
        <v>46054</v>
      </c>
      <c r="T4" s="22" t="n">
        <v>46082</v>
      </c>
      <c r="U4" s="22" t="n">
        <v>46113</v>
      </c>
      <c r="V4" s="22" t="n">
        <v>46143</v>
      </c>
      <c r="W4" s="22" t="n">
        <v>46174</v>
      </c>
      <c r="X4" s="22" t="n">
        <v>46204</v>
      </c>
      <c r="Y4" s="22" t="n">
        <v>46235</v>
      </c>
      <c r="Z4" s="22" t="n">
        <v>46266</v>
      </c>
      <c r="AA4" s="22" t="n">
        <v>46296</v>
      </c>
      <c r="AB4" s="22" t="n">
        <v>46327</v>
      </c>
      <c r="AC4" s="23" t="n">
        <v>46357</v>
      </c>
      <c r="AD4" s="21" t="n">
        <v>46023</v>
      </c>
      <c r="AE4" s="22" t="n">
        <v>46054</v>
      </c>
      <c r="AF4" s="22" t="n">
        <v>46082</v>
      </c>
      <c r="AG4" s="22" t="n">
        <v>46113</v>
      </c>
      <c r="AH4" s="22" t="n">
        <v>46143</v>
      </c>
      <c r="AI4" s="22" t="n">
        <v>46174</v>
      </c>
      <c r="AJ4" s="22" t="n">
        <v>46204</v>
      </c>
      <c r="AK4" s="22" t="n">
        <v>46235</v>
      </c>
      <c r="AL4" s="22" t="n">
        <v>46266</v>
      </c>
      <c r="AM4" s="22" t="n">
        <v>46296</v>
      </c>
      <c r="AN4" s="22" t="n">
        <v>46327</v>
      </c>
      <c r="AO4" s="23" t="n">
        <v>46357</v>
      </c>
      <c r="AP4" s="21" t="n">
        <v>46023</v>
      </c>
      <c r="AQ4" s="22" t="n">
        <v>46054</v>
      </c>
      <c r="AR4" s="22" t="n">
        <v>46082</v>
      </c>
      <c r="AS4" s="22" t="n">
        <v>46113</v>
      </c>
      <c r="AT4" s="22" t="n">
        <v>46143</v>
      </c>
      <c r="AU4" s="22" t="n">
        <v>46174</v>
      </c>
      <c r="AV4" s="22" t="n">
        <v>46204</v>
      </c>
      <c r="AW4" s="22" t="n">
        <v>46235</v>
      </c>
      <c r="AX4" s="22" t="n">
        <v>46266</v>
      </c>
      <c r="AY4" s="22" t="n">
        <v>46296</v>
      </c>
      <c r="AZ4" s="22" t="n">
        <v>46327</v>
      </c>
      <c r="BA4" s="23" t="n">
        <v>46357</v>
      </c>
      <c r="BB4" s="21" t="n">
        <v>46023</v>
      </c>
      <c r="BC4" s="22" t="n">
        <v>46054</v>
      </c>
      <c r="BD4" s="22" t="n">
        <v>46082</v>
      </c>
      <c r="BE4" s="22" t="n">
        <v>46113</v>
      </c>
      <c r="BF4" s="22" t="n">
        <v>46143</v>
      </c>
      <c r="BG4" s="22" t="n">
        <v>46174</v>
      </c>
      <c r="BH4" s="22" t="n">
        <v>46204</v>
      </c>
      <c r="BI4" s="22" t="n">
        <v>46235</v>
      </c>
      <c r="BJ4" s="22" t="n">
        <v>46266</v>
      </c>
      <c r="BK4" s="22" t="n">
        <v>46296</v>
      </c>
      <c r="BL4" s="22" t="n">
        <v>46327</v>
      </c>
      <c r="BM4" s="23" t="n">
        <v>46357</v>
      </c>
      <c r="BN4" s="21" t="n">
        <v>46023</v>
      </c>
      <c r="BO4" s="22" t="n">
        <v>46054</v>
      </c>
      <c r="BP4" s="22" t="n">
        <v>46082</v>
      </c>
      <c r="BQ4" s="22" t="n">
        <v>46113</v>
      </c>
      <c r="BR4" s="22" t="n">
        <v>46143</v>
      </c>
      <c r="BS4" s="22" t="n">
        <v>46174</v>
      </c>
      <c r="BT4" s="22" t="n">
        <v>46204</v>
      </c>
      <c r="BU4" s="22" t="n">
        <v>46235</v>
      </c>
      <c r="BV4" s="22" t="n">
        <v>46266</v>
      </c>
      <c r="BW4" s="22" t="n">
        <v>46296</v>
      </c>
      <c r="BX4" s="22" t="n">
        <v>46327</v>
      </c>
      <c r="BY4" s="23" t="n">
        <v>46357</v>
      </c>
    </row>
    <row r="5" customFormat="false" ht="45" hidden="false" customHeight="true" outlineLevel="0" collapsed="false">
      <c r="B5" s="24"/>
      <c r="C5" s="25" t="s">
        <v>6</v>
      </c>
      <c r="D5" s="25"/>
      <c r="E5" s="26" t="s">
        <v>7</v>
      </c>
      <c r="F5" s="27" t="n">
        <f aca="false">R5+AD5+AP5+BB5+BN5</f>
        <v>0</v>
      </c>
      <c r="G5" s="27" t="n">
        <f aca="false">S5+AE5+AQ5+BC5+BO5</f>
        <v>0</v>
      </c>
      <c r="H5" s="27" t="n">
        <f aca="false">T5+AF5+AR5+BD5+BP5</f>
        <v>0</v>
      </c>
      <c r="I5" s="27" t="n">
        <f aca="false">U5+AG5+AS5+BE5+BQ5</f>
        <v>0</v>
      </c>
      <c r="J5" s="27" t="n">
        <f aca="false">V5+AH5+AT5+BF5+BR5</f>
        <v>0</v>
      </c>
      <c r="K5" s="27" t="n">
        <f aca="false">W5+AI5+AU5+BG5+BS5</f>
        <v>0</v>
      </c>
      <c r="L5" s="27" t="n">
        <f aca="false">X5+AJ5+AV5+BH5+BT5</f>
        <v>0</v>
      </c>
      <c r="M5" s="27" t="n">
        <f aca="false">Y5+AK5+AW5+BI5+BU5</f>
        <v>0</v>
      </c>
      <c r="N5" s="27" t="n">
        <f aca="false">Z5+AL5+AX5+BJ5+BV5</f>
        <v>0</v>
      </c>
      <c r="O5" s="27" t="n">
        <f aca="false">AA5+AM5+AY5+BK5+BW5</f>
        <v>0</v>
      </c>
      <c r="P5" s="27" t="n">
        <f aca="false">AB5+AN5+AZ5+BL5+BX5</f>
        <v>0</v>
      </c>
      <c r="Q5" s="27" t="n">
        <f aca="false">AC5+AO5+BA5+BM5+BY5</f>
        <v>0</v>
      </c>
      <c r="R5" s="28"/>
      <c r="S5" s="24"/>
      <c r="T5" s="24"/>
      <c r="U5" s="24"/>
      <c r="V5" s="24"/>
      <c r="W5" s="24"/>
      <c r="X5" s="24"/>
      <c r="Y5" s="24"/>
      <c r="Z5" s="24"/>
      <c r="AA5" s="24"/>
      <c r="AB5" s="24"/>
      <c r="AC5" s="29"/>
      <c r="AD5" s="28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9"/>
      <c r="AP5" s="28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9"/>
      <c r="BB5" s="28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9"/>
      <c r="BN5" s="28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9"/>
    </row>
    <row r="6" customFormat="false" ht="30" hidden="false" customHeight="true" outlineLevel="0" collapsed="false">
      <c r="B6" s="24"/>
      <c r="C6" s="25" t="s">
        <v>8</v>
      </c>
      <c r="D6" s="25"/>
      <c r="E6" s="26" t="s">
        <v>7</v>
      </c>
      <c r="F6" s="27" t="n">
        <f aca="false">R6+AD6+AP6+BB6+BN6</f>
        <v>97475</v>
      </c>
      <c r="G6" s="27" t="n">
        <f aca="false">S6+AE6+AQ6+BC6+BO6</f>
        <v>35840</v>
      </c>
      <c r="H6" s="27" t="n">
        <f aca="false">T6+AF6+AR6+BD6+BP6</f>
        <v>107170</v>
      </c>
      <c r="I6" s="27" t="n">
        <f aca="false">U6+AG6+AS6+BE6+BQ6</f>
        <v>132475</v>
      </c>
      <c r="J6" s="27" t="n">
        <f aca="false">V6+AH6+AT6+BF6+BR6</f>
        <v>166670</v>
      </c>
      <c r="K6" s="27" t="n">
        <f aca="false">W6+AI6+AU6+BG6+BS6</f>
        <v>96040</v>
      </c>
      <c r="L6" s="27" t="n">
        <f aca="false">X6+AJ6+AV6+BH6+BT6</f>
        <v>0</v>
      </c>
      <c r="M6" s="27" t="n">
        <f aca="false">Y6+AK6+AW6+BI6+BU6</f>
        <v>0</v>
      </c>
      <c r="N6" s="27" t="n">
        <f aca="false">Z6+AL6+AX6+BJ6+BV6</f>
        <v>0</v>
      </c>
      <c r="O6" s="27" t="n">
        <f aca="false">AA6+AM6+AY6+BK6+BW6</f>
        <v>0</v>
      </c>
      <c r="P6" s="27" t="n">
        <f aca="false">AB6+AN6+AZ6+BL6+BX6</f>
        <v>0</v>
      </c>
      <c r="Q6" s="27" t="n">
        <f aca="false">AC6+AO6+BA6+BM6+BY6</f>
        <v>0</v>
      </c>
      <c r="R6" s="30" t="n">
        <v>97475</v>
      </c>
      <c r="S6" s="31" t="n">
        <v>35840</v>
      </c>
      <c r="T6" s="31" t="n">
        <v>107170</v>
      </c>
      <c r="U6" s="31" t="n">
        <v>132475</v>
      </c>
      <c r="V6" s="31" t="n">
        <v>166670</v>
      </c>
      <c r="W6" s="31" t="n">
        <v>96040</v>
      </c>
      <c r="X6" s="31"/>
      <c r="Y6" s="31"/>
      <c r="Z6" s="31"/>
      <c r="AA6" s="31"/>
      <c r="AB6" s="31"/>
      <c r="AC6" s="32"/>
      <c r="AD6" s="28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9"/>
      <c r="AP6" s="28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9"/>
      <c r="BB6" s="28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9"/>
      <c r="BN6" s="28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9"/>
    </row>
    <row r="7" customFormat="false" ht="30" hidden="false" customHeight="true" outlineLevel="0" collapsed="false">
      <c r="B7" s="24"/>
      <c r="C7" s="25" t="s">
        <v>10</v>
      </c>
      <c r="D7" s="25"/>
      <c r="E7" s="26" t="s">
        <v>12</v>
      </c>
      <c r="F7" s="27" t="n">
        <f aca="false">R7+AD7+AP7+BB7+BN7</f>
        <v>59</v>
      </c>
      <c r="G7" s="27" t="n">
        <f aca="false">S7+AE7+AQ7+BC7+BO7</f>
        <v>49.3</v>
      </c>
      <c r="H7" s="27" t="n">
        <f aca="false">T7+AF7+AR7+BD7+BP7</f>
        <v>47.333</v>
      </c>
      <c r="I7" s="27" t="n">
        <f aca="false">U7+AG7+AS7+BE7+BQ7</f>
        <v>97</v>
      </c>
      <c r="J7" s="27" t="n">
        <f aca="false">V7+AH7+AT7+BF7+BR7</f>
        <v>209</v>
      </c>
      <c r="K7" s="27" t="n">
        <f aca="false">W7+AI7+AU7+BG7+BS7</f>
        <v>286</v>
      </c>
      <c r="L7" s="27" t="n">
        <f aca="false">X7+AJ7+AV7+BH7+BT7</f>
        <v>0</v>
      </c>
      <c r="M7" s="27" t="n">
        <f aca="false">Y7+AK7+AW7+BI7+BU7</f>
        <v>0</v>
      </c>
      <c r="N7" s="27" t="n">
        <f aca="false">Z7+AL7+AX7+BJ7+BV7</f>
        <v>0</v>
      </c>
      <c r="O7" s="27" t="n">
        <f aca="false">AA7+AM7+AY7+BK7+BW7</f>
        <v>0</v>
      </c>
      <c r="P7" s="27" t="n">
        <f aca="false">AB7+AN7+AZ7+BL7+BX7</f>
        <v>0</v>
      </c>
      <c r="Q7" s="27" t="n">
        <f aca="false">AC7+AO7+BA7+BM7+BY7</f>
        <v>0</v>
      </c>
      <c r="R7" s="28"/>
      <c r="S7" s="24"/>
      <c r="T7" s="24"/>
      <c r="U7" s="24"/>
      <c r="V7" s="24"/>
      <c r="W7" s="24"/>
      <c r="X7" s="24"/>
      <c r="Y7" s="24"/>
      <c r="Z7" s="24"/>
      <c r="AA7" s="24"/>
      <c r="AB7" s="24"/>
      <c r="AC7" s="29"/>
      <c r="AD7" s="28" t="n">
        <v>59</v>
      </c>
      <c r="AE7" s="24" t="n">
        <v>24.8</v>
      </c>
      <c r="AF7" s="24" t="n">
        <v>46.333</v>
      </c>
      <c r="AG7" s="24" t="n">
        <v>97</v>
      </c>
      <c r="AH7" s="24" t="n">
        <v>139</v>
      </c>
      <c r="AI7" s="24" t="n">
        <v>163.5</v>
      </c>
      <c r="AJ7" s="24"/>
      <c r="AK7" s="24"/>
      <c r="AL7" s="24"/>
      <c r="AM7" s="24"/>
      <c r="AN7" s="24"/>
      <c r="AO7" s="29"/>
      <c r="AP7" s="28" t="n">
        <v>0</v>
      </c>
      <c r="AQ7" s="24" t="n">
        <v>24.5</v>
      </c>
      <c r="AR7" s="24" t="n">
        <v>0</v>
      </c>
      <c r="AS7" s="24" t="n">
        <v>0</v>
      </c>
      <c r="AT7" s="24" t="n">
        <v>70</v>
      </c>
      <c r="AU7" s="24" t="n">
        <v>18</v>
      </c>
      <c r="AV7" s="24"/>
      <c r="AW7" s="24"/>
      <c r="AX7" s="24"/>
      <c r="AY7" s="24"/>
      <c r="AZ7" s="24"/>
      <c r="BA7" s="29"/>
      <c r="BB7" s="28" t="n">
        <v>0</v>
      </c>
      <c r="BC7" s="24" t="n">
        <v>0</v>
      </c>
      <c r="BD7" s="24" t="n">
        <v>1</v>
      </c>
      <c r="BE7" s="24" t="n">
        <v>0</v>
      </c>
      <c r="BF7" s="24" t="n">
        <v>0</v>
      </c>
      <c r="BG7" s="24" t="n">
        <v>22</v>
      </c>
      <c r="BH7" s="24"/>
      <c r="BI7" s="24"/>
      <c r="BJ7" s="24"/>
      <c r="BK7" s="24"/>
      <c r="BL7" s="24"/>
      <c r="BM7" s="29"/>
      <c r="BN7" s="28" t="n">
        <v>0</v>
      </c>
      <c r="BO7" s="24" t="n">
        <v>0</v>
      </c>
      <c r="BP7" s="24" t="n">
        <v>0</v>
      </c>
      <c r="BQ7" s="24" t="n">
        <v>0</v>
      </c>
      <c r="BR7" s="24" t="n">
        <v>0</v>
      </c>
      <c r="BS7" s="24" t="n">
        <v>82.5</v>
      </c>
      <c r="BT7" s="24"/>
      <c r="BU7" s="24"/>
      <c r="BV7" s="24"/>
      <c r="BW7" s="24"/>
      <c r="BX7" s="24"/>
      <c r="BY7" s="29"/>
    </row>
    <row r="8" customFormat="false" ht="30" hidden="false" customHeight="true" outlineLevel="0" collapsed="false">
      <c r="B8" s="24"/>
      <c r="C8" s="25" t="s">
        <v>13</v>
      </c>
      <c r="D8" s="25"/>
      <c r="E8" s="26" t="s">
        <v>12</v>
      </c>
      <c r="F8" s="27" t="n">
        <f aca="false">R8+AD8+AP8+BB8+BN8</f>
        <v>0</v>
      </c>
      <c r="G8" s="27" t="n">
        <f aca="false">S8+AE8+AQ8+BC8+BO8</f>
        <v>0</v>
      </c>
      <c r="H8" s="27" t="n">
        <f aca="false">T8+AF8+AR8+BD8+BP8</f>
        <v>0</v>
      </c>
      <c r="I8" s="27" t="n">
        <f aca="false">U8+AG8+AS8+BE8+BQ8</f>
        <v>0</v>
      </c>
      <c r="J8" s="27" t="n">
        <f aca="false">V8+AH8+AT8+BF8+BR8</f>
        <v>0</v>
      </c>
      <c r="K8" s="27" t="n">
        <f aca="false">W8+AI8+AU8+BG8+BS8</f>
        <v>0</v>
      </c>
      <c r="L8" s="27" t="n">
        <f aca="false">X8+AJ8+AV8+BH8+BT8</f>
        <v>0</v>
      </c>
      <c r="M8" s="27" t="n">
        <f aca="false">Y8+AK8+AW8+BI8+BU8</f>
        <v>0</v>
      </c>
      <c r="N8" s="27" t="n">
        <f aca="false">Z8+AL8+AX8+BJ8+BV8</f>
        <v>0</v>
      </c>
      <c r="O8" s="27" t="n">
        <f aca="false">AA8+AM8+AY8+BK8+BW8</f>
        <v>0</v>
      </c>
      <c r="P8" s="27" t="n">
        <f aca="false">AB8+AN8+AZ8+BL8+BX8</f>
        <v>0</v>
      </c>
      <c r="Q8" s="27" t="n">
        <f aca="false">AC8+AO8+BA8+BM8+BY8</f>
        <v>0</v>
      </c>
      <c r="R8" s="28"/>
      <c r="S8" s="24"/>
      <c r="T8" s="24"/>
      <c r="U8" s="24"/>
      <c r="V8" s="24"/>
      <c r="W8" s="24"/>
      <c r="X8" s="24"/>
      <c r="Y8" s="24"/>
      <c r="Z8" s="24"/>
      <c r="AA8" s="24"/>
      <c r="AB8" s="24"/>
      <c r="AC8" s="29"/>
      <c r="AD8" s="28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9"/>
      <c r="AP8" s="28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9"/>
      <c r="BB8" s="28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9"/>
      <c r="BN8" s="28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9"/>
    </row>
    <row r="9" customFormat="false" ht="30" hidden="false" customHeight="true" outlineLevel="0" collapsed="false">
      <c r="B9" s="24"/>
      <c r="C9" s="25" t="s">
        <v>14</v>
      </c>
      <c r="D9" s="25"/>
      <c r="E9" s="26" t="s">
        <v>12</v>
      </c>
      <c r="F9" s="27" t="n">
        <f aca="false">R9+AD9+AP9+BB9+BN9</f>
        <v>63</v>
      </c>
      <c r="G9" s="27" t="n">
        <f aca="false">S9+AE9+AQ9+BC9+BO9</f>
        <v>74.3</v>
      </c>
      <c r="H9" s="27" t="n">
        <f aca="false">T9+AF9+AR9+BD9+BP9</f>
        <v>56</v>
      </c>
      <c r="I9" s="27" t="n">
        <f aca="false">U9+AG9+AS9+BE9+BQ9</f>
        <v>79.933</v>
      </c>
      <c r="J9" s="27" t="n">
        <f aca="false">V9+AH9+AT9+BF9+BR9</f>
        <v>0</v>
      </c>
      <c r="K9" s="27" t="n">
        <f aca="false">W9+AI9+AU9+BG9+BS9</f>
        <v>97.333</v>
      </c>
      <c r="L9" s="27" t="n">
        <f aca="false">X9+AJ9+AV9+BH9+BT9</f>
        <v>0</v>
      </c>
      <c r="M9" s="27" t="n">
        <f aca="false">Y9+AK9+AW9+BI9+BU9</f>
        <v>0</v>
      </c>
      <c r="N9" s="27" t="n">
        <f aca="false">Z9+AL9+AX9+BJ9+BV9</f>
        <v>0</v>
      </c>
      <c r="O9" s="27" t="n">
        <f aca="false">AA9+AM9+AY9+BK9+BW9</f>
        <v>0</v>
      </c>
      <c r="P9" s="27" t="n">
        <f aca="false">AB9+AN9+AZ9+BL9+BX9</f>
        <v>0</v>
      </c>
      <c r="Q9" s="27" t="n">
        <f aca="false">AC9+AO9+BA9+BM9+BY9</f>
        <v>0</v>
      </c>
      <c r="R9" s="28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54.333</v>
      </c>
      <c r="X9" s="24"/>
      <c r="Y9" s="24"/>
      <c r="Z9" s="24"/>
      <c r="AA9" s="24"/>
      <c r="AB9" s="24"/>
      <c r="AC9" s="29"/>
      <c r="AD9" s="28" t="n">
        <v>63</v>
      </c>
      <c r="AE9" s="24" t="n">
        <v>67.5</v>
      </c>
      <c r="AF9" s="24" t="n">
        <v>29</v>
      </c>
      <c r="AG9" s="24" t="n">
        <v>79.933</v>
      </c>
      <c r="AH9" s="24" t="n">
        <v>0</v>
      </c>
      <c r="AI9" s="24" t="n">
        <v>43</v>
      </c>
      <c r="AJ9" s="24"/>
      <c r="AK9" s="24"/>
      <c r="AL9" s="24"/>
      <c r="AM9" s="24"/>
      <c r="AN9" s="24"/>
      <c r="AO9" s="29"/>
      <c r="AP9" s="28" t="n">
        <v>0</v>
      </c>
      <c r="AQ9" s="24" t="n">
        <v>3</v>
      </c>
      <c r="AR9" s="24" t="n">
        <v>27</v>
      </c>
      <c r="AS9" s="24" t="n">
        <v>0</v>
      </c>
      <c r="AT9" s="24" t="n">
        <v>0</v>
      </c>
      <c r="AU9" s="24" t="n">
        <v>0</v>
      </c>
      <c r="AV9" s="24"/>
      <c r="AW9" s="24"/>
      <c r="AX9" s="24"/>
      <c r="AY9" s="24"/>
      <c r="AZ9" s="24"/>
      <c r="BA9" s="29"/>
      <c r="BB9" s="28" t="n">
        <v>0</v>
      </c>
      <c r="BC9" s="24" t="n">
        <v>3.8</v>
      </c>
      <c r="BD9" s="24" t="n">
        <v>0</v>
      </c>
      <c r="BE9" s="24" t="n">
        <v>0</v>
      </c>
      <c r="BF9" s="24" t="n">
        <v>0</v>
      </c>
      <c r="BG9" s="24" t="n">
        <v>0</v>
      </c>
      <c r="BH9" s="24"/>
      <c r="BI9" s="24"/>
      <c r="BJ9" s="24"/>
      <c r="BK9" s="24"/>
      <c r="BL9" s="24"/>
      <c r="BM9" s="29"/>
      <c r="BN9" s="28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/>
      <c r="BU9" s="24"/>
      <c r="BV9" s="24"/>
      <c r="BW9" s="24"/>
      <c r="BX9" s="24"/>
      <c r="BY9" s="29"/>
    </row>
    <row r="10" customFormat="false" ht="30" hidden="false" customHeight="true" outlineLevel="0" collapsed="false">
      <c r="B10" s="24"/>
      <c r="C10" s="25" t="s">
        <v>15</v>
      </c>
      <c r="D10" s="25"/>
      <c r="E10" s="26" t="s">
        <v>12</v>
      </c>
      <c r="F10" s="27" t="n">
        <f aca="false">R10+AD10+AP10+BB10+BN10</f>
        <v>0</v>
      </c>
      <c r="G10" s="27" t="n">
        <f aca="false">S10+AE10+AQ10+BC10+BO10</f>
        <v>0</v>
      </c>
      <c r="H10" s="27" t="n">
        <f aca="false">T10+AF10+AR10+BD10+BP10</f>
        <v>0</v>
      </c>
      <c r="I10" s="27" t="n">
        <f aca="false">U10+AG10+AS10+BE10+BQ10</f>
        <v>0</v>
      </c>
      <c r="J10" s="27" t="n">
        <f aca="false">V10+AH10+AT10+BF10+BR10</f>
        <v>0</v>
      </c>
      <c r="K10" s="27" t="n">
        <f aca="false">W10+AI10+AU10+BG10+BS10</f>
        <v>0</v>
      </c>
      <c r="L10" s="27" t="n">
        <f aca="false">X10+AJ10+AV10+BH10+BT10</f>
        <v>0</v>
      </c>
      <c r="M10" s="27" t="n">
        <f aca="false">Y10+AK10+AW10+BI10+BU10</f>
        <v>0</v>
      </c>
      <c r="N10" s="27" t="n">
        <f aca="false">Z10+AL10+AX10+BJ10+BV10</f>
        <v>0</v>
      </c>
      <c r="O10" s="27" t="n">
        <f aca="false">AA10+AM10+AY10+BK10+BW10</f>
        <v>0</v>
      </c>
      <c r="P10" s="27" t="n">
        <f aca="false">AB10+AN10+AZ10+BL10+BX10</f>
        <v>0</v>
      </c>
      <c r="Q10" s="27" t="n">
        <f aca="false">AC10+AO10+BA10+BM10+BY10</f>
        <v>0</v>
      </c>
      <c r="R10" s="28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9"/>
      <c r="AD10" s="28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9"/>
      <c r="AP10" s="28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9"/>
      <c r="BB10" s="28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9"/>
      <c r="BN10" s="28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9"/>
    </row>
    <row r="11" customFormat="false" ht="45" hidden="false" customHeight="true" outlineLevel="0" collapsed="false">
      <c r="B11" s="24"/>
      <c r="C11" s="25" t="s">
        <v>16</v>
      </c>
      <c r="D11" s="35" t="s">
        <v>17</v>
      </c>
      <c r="E11" s="26" t="s">
        <v>19</v>
      </c>
      <c r="F11" s="27" t="n">
        <f aca="false">R11+AD11+AP11+BB11+BN11</f>
        <v>36.9</v>
      </c>
      <c r="G11" s="33" t="n">
        <f aca="false">S11+AE11+AQ11+BC11+BO11</f>
        <v>9.84</v>
      </c>
      <c r="H11" s="33" t="n">
        <f aca="false">T11+AF11+AR11+BD11+BP11</f>
        <v>52.2</v>
      </c>
      <c r="I11" s="33" t="n">
        <f aca="false">U11+AG11+AS11+BE11+BQ11</f>
        <v>59.91</v>
      </c>
      <c r="J11" s="33" t="n">
        <f aca="false">V11+AH11+AT11+BF11+BR11</f>
        <v>59</v>
      </c>
      <c r="K11" s="33" t="n">
        <f aca="false">W11+AI11+AU11+BG11+BS11</f>
        <v>51.99</v>
      </c>
      <c r="L11" s="33" t="n">
        <f aca="false">X11+AJ11+AV11+BH11+BT11</f>
        <v>0</v>
      </c>
      <c r="M11" s="33" t="n">
        <f aca="false">Y11+AK11+AW11+BI11+BU11</f>
        <v>0</v>
      </c>
      <c r="N11" s="33" t="n">
        <f aca="false">Z11+AL11+AX11+BJ11+BV11</f>
        <v>0</v>
      </c>
      <c r="O11" s="33" t="n">
        <f aca="false">AA11+AM11+AY11+BK11+BW11</f>
        <v>0</v>
      </c>
      <c r="P11" s="33" t="n">
        <f aca="false">AB11+AN11+AZ11+BL11+BX11</f>
        <v>0</v>
      </c>
      <c r="Q11" s="34" t="n">
        <f aca="false">AC11+AO11+BA11+BM11+BY11</f>
        <v>0</v>
      </c>
      <c r="R11" s="28" t="n">
        <v>36.9</v>
      </c>
      <c r="S11" s="24" t="n">
        <v>9.84</v>
      </c>
      <c r="T11" s="24" t="n">
        <v>52.2</v>
      </c>
      <c r="U11" s="24" t="n">
        <v>59.91</v>
      </c>
      <c r="V11" s="24" t="n">
        <v>59</v>
      </c>
      <c r="W11" s="24" t="n">
        <v>51.99</v>
      </c>
      <c r="X11" s="24"/>
      <c r="Y11" s="24"/>
      <c r="Z11" s="24"/>
      <c r="AA11" s="24"/>
      <c r="AB11" s="24"/>
      <c r="AC11" s="29"/>
      <c r="AD11" s="28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9"/>
      <c r="AP11" s="28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9"/>
      <c r="BB11" s="28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9"/>
      <c r="BN11" s="28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9"/>
    </row>
    <row r="12" customFormat="false" ht="45" hidden="false" customHeight="true" outlineLevel="0" collapsed="false">
      <c r="B12" s="24"/>
      <c r="C12" s="25" t="s">
        <v>20</v>
      </c>
      <c r="D12" s="35"/>
      <c r="E12" s="26" t="s">
        <v>19</v>
      </c>
      <c r="F12" s="27" t="n">
        <f aca="false">R12+AD12+AP12+BB12+BN12</f>
        <v>3.5</v>
      </c>
      <c r="G12" s="33" t="n">
        <f aca="false">S12+AE12+AQ12+BC12+BO12</f>
        <v>3.5</v>
      </c>
      <c r="H12" s="33" t="n">
        <f aca="false">T12+AF12+AR12+BD12+BP12</f>
        <v>3.5</v>
      </c>
      <c r="I12" s="33" t="n">
        <f aca="false">U12+AG12+AS12+BE12+BQ12</f>
        <v>3.5</v>
      </c>
      <c r="J12" s="33" t="n">
        <f aca="false">V12+AH12+AT12+BF12+BR12</f>
        <v>3.5</v>
      </c>
      <c r="K12" s="33" t="n">
        <f aca="false">W12+AI12+AU12+BG12+BS12</f>
        <v>3.5</v>
      </c>
      <c r="L12" s="33" t="n">
        <f aca="false">X12+AJ12+AV12+BH12+BT12</f>
        <v>0</v>
      </c>
      <c r="M12" s="33" t="n">
        <f aca="false">Y12+AK12+AW12+BI12+BU12</f>
        <v>0</v>
      </c>
      <c r="N12" s="33" t="n">
        <f aca="false">Z12+AL12+AX12+BJ12+BV12</f>
        <v>0</v>
      </c>
      <c r="O12" s="33" t="n">
        <f aca="false">AA12+AM12+AY12+BK12+BW12</f>
        <v>0</v>
      </c>
      <c r="P12" s="33" t="n">
        <f aca="false">AB12+AN12+AZ12+BL12+BX12</f>
        <v>0</v>
      </c>
      <c r="Q12" s="34" t="n">
        <f aca="false">AC12+AO12+BA12+BM12+BY12</f>
        <v>0</v>
      </c>
      <c r="R12" s="28" t="n">
        <v>3.5</v>
      </c>
      <c r="S12" s="24" t="n">
        <v>3.5</v>
      </c>
      <c r="T12" s="24" t="n">
        <v>3.5</v>
      </c>
      <c r="U12" s="24" t="n">
        <v>3.5</v>
      </c>
      <c r="V12" s="24" t="n">
        <v>3.5</v>
      </c>
      <c r="W12" s="24" t="n">
        <v>3.5</v>
      </c>
      <c r="X12" s="24"/>
      <c r="Y12" s="24"/>
      <c r="Z12" s="24"/>
      <c r="AA12" s="24"/>
      <c r="AB12" s="24"/>
      <c r="AC12" s="29"/>
      <c r="AD12" s="28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9"/>
      <c r="AP12" s="28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9"/>
      <c r="BB12" s="28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9"/>
      <c r="BN12" s="28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9"/>
    </row>
    <row r="13" customFormat="false" ht="45" hidden="false" customHeight="true" outlineLevel="0" collapsed="false">
      <c r="B13" s="24"/>
      <c r="C13" s="25" t="s">
        <v>21</v>
      </c>
      <c r="D13" s="35" t="s">
        <v>22</v>
      </c>
      <c r="E13" s="26" t="s">
        <v>19</v>
      </c>
      <c r="F13" s="27" t="n">
        <f aca="false">R13+AD13+AP13+BB13+BN13</f>
        <v>186</v>
      </c>
      <c r="G13" s="33" t="n">
        <f aca="false">S13+AE13+AQ13+BC13+BO13</f>
        <v>247.15</v>
      </c>
      <c r="H13" s="33" t="n">
        <f aca="false">T13+AF13+AR13+BD13+BP13</f>
        <v>235.53</v>
      </c>
      <c r="I13" s="33" t="n">
        <f aca="false">U13+AG13+AS13+BE13+BQ13</f>
        <v>195.5</v>
      </c>
      <c r="J13" s="33" t="n">
        <f aca="false">V13+AH13+AT13+BF13+BR13</f>
        <v>220.01</v>
      </c>
      <c r="K13" s="33" t="n">
        <f aca="false">W13+AI13+AU13+BG13+BS13</f>
        <v>246</v>
      </c>
      <c r="L13" s="33" t="n">
        <f aca="false">X13+AJ13+AV13+BH13+BT13</f>
        <v>0</v>
      </c>
      <c r="M13" s="33" t="n">
        <f aca="false">Y13+AK13+AW13+BI13+BU13</f>
        <v>0</v>
      </c>
      <c r="N13" s="33" t="n">
        <f aca="false">Z13+AL13+AX13+BJ13+BV13</f>
        <v>0</v>
      </c>
      <c r="O13" s="33" t="n">
        <f aca="false">AA13+AM13+AY13+BK13+BW13</f>
        <v>0</v>
      </c>
      <c r="P13" s="33" t="n">
        <f aca="false">AB13+AN13+AZ13+BL13+BX13</f>
        <v>0</v>
      </c>
      <c r="Q13" s="34" t="n">
        <f aca="false">AC13+AO13+BA13+BM13+BY13</f>
        <v>0</v>
      </c>
      <c r="R13" s="28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9"/>
      <c r="AD13" s="28" t="n">
        <v>52</v>
      </c>
      <c r="AE13" s="24" t="n">
        <v>65</v>
      </c>
      <c r="AF13" s="24" t="n">
        <v>62</v>
      </c>
      <c r="AG13" s="24" t="n">
        <v>60</v>
      </c>
      <c r="AH13" s="24" t="n">
        <v>65</v>
      </c>
      <c r="AI13" s="24" t="n">
        <v>62</v>
      </c>
      <c r="AJ13" s="24"/>
      <c r="AK13" s="24"/>
      <c r="AL13" s="24"/>
      <c r="AM13" s="24"/>
      <c r="AN13" s="24"/>
      <c r="AO13" s="29"/>
      <c r="AP13" s="28" t="n">
        <v>52</v>
      </c>
      <c r="AQ13" s="24" t="n">
        <v>65</v>
      </c>
      <c r="AR13" s="24" t="n">
        <v>62</v>
      </c>
      <c r="AS13" s="24" t="n">
        <v>60</v>
      </c>
      <c r="AT13" s="24" t="n">
        <v>65</v>
      </c>
      <c r="AU13" s="24" t="n">
        <v>62</v>
      </c>
      <c r="AV13" s="24"/>
      <c r="AW13" s="24"/>
      <c r="AX13" s="24"/>
      <c r="AY13" s="24"/>
      <c r="AZ13" s="24"/>
      <c r="BA13" s="29"/>
      <c r="BB13" s="28" t="n">
        <v>30</v>
      </c>
      <c r="BC13" s="24" t="n">
        <v>52.15</v>
      </c>
      <c r="BD13" s="24" t="n">
        <v>49.53</v>
      </c>
      <c r="BE13" s="24" t="n">
        <v>15.5</v>
      </c>
      <c r="BF13" s="24" t="n">
        <v>25.01</v>
      </c>
      <c r="BG13" s="24" t="n">
        <v>60</v>
      </c>
      <c r="BH13" s="24"/>
      <c r="BI13" s="24"/>
      <c r="BJ13" s="24"/>
      <c r="BK13" s="24"/>
      <c r="BL13" s="24"/>
      <c r="BM13" s="29"/>
      <c r="BN13" s="28" t="n">
        <v>52</v>
      </c>
      <c r="BO13" s="24" t="n">
        <v>65</v>
      </c>
      <c r="BP13" s="24" t="n">
        <v>62</v>
      </c>
      <c r="BQ13" s="24" t="n">
        <v>60</v>
      </c>
      <c r="BR13" s="24" t="n">
        <v>65</v>
      </c>
      <c r="BS13" s="24" t="n">
        <v>62</v>
      </c>
      <c r="BT13" s="24"/>
      <c r="BU13" s="24"/>
      <c r="BV13" s="24"/>
      <c r="BW13" s="24"/>
      <c r="BX13" s="24"/>
      <c r="BY13" s="29"/>
    </row>
    <row r="14" customFormat="false" ht="45" hidden="false" customHeight="true" outlineLevel="0" collapsed="false">
      <c r="B14" s="24"/>
      <c r="C14" s="25" t="s">
        <v>24</v>
      </c>
      <c r="D14" s="35"/>
      <c r="E14" s="26" t="s">
        <v>19</v>
      </c>
      <c r="F14" s="27" t="n">
        <f aca="false">R14+AD14+AP14+BB14+BN14</f>
        <v>20</v>
      </c>
      <c r="G14" s="33" t="n">
        <f aca="false">S14+AE14+AQ14+BC14+BO14</f>
        <v>25</v>
      </c>
      <c r="H14" s="33" t="n">
        <f aca="false">T14+AF14+AR14+BD14+BP14</f>
        <v>19</v>
      </c>
      <c r="I14" s="33" t="n">
        <f aca="false">U14+AG14+AS14+BE14+BQ14</f>
        <v>22</v>
      </c>
      <c r="J14" s="33" t="n">
        <f aca="false">V14+AH14+AT14+BF14+BR14</f>
        <v>20</v>
      </c>
      <c r="K14" s="33" t="n">
        <f aca="false">W14+AI14+AU14+BG14+BS14</f>
        <v>22</v>
      </c>
      <c r="L14" s="33" t="n">
        <f aca="false">X14+AJ14+AV14+BH14+BT14</f>
        <v>0</v>
      </c>
      <c r="M14" s="33" t="n">
        <f aca="false">Y14+AK14+AW14+BI14+BU14</f>
        <v>0</v>
      </c>
      <c r="N14" s="33" t="n">
        <f aca="false">Z14+AL14+AX14+BJ14+BV14</f>
        <v>0</v>
      </c>
      <c r="O14" s="33" t="n">
        <f aca="false">AA14+AM14+AY14+BK14+BW14</f>
        <v>0</v>
      </c>
      <c r="P14" s="33" t="n">
        <f aca="false">AB14+AN14+AZ14+BL14+BX14</f>
        <v>0</v>
      </c>
      <c r="Q14" s="34" t="n">
        <f aca="false">AC14+AO14+BA14+BM14+BY14</f>
        <v>0</v>
      </c>
      <c r="R14" s="28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9"/>
      <c r="AD14" s="28" t="n">
        <v>6</v>
      </c>
      <c r="AE14" s="24" t="n">
        <v>6</v>
      </c>
      <c r="AF14" s="24" t="n">
        <v>6</v>
      </c>
      <c r="AG14" s="24" t="n">
        <v>6</v>
      </c>
      <c r="AH14" s="24" t="n">
        <v>6</v>
      </c>
      <c r="AI14" s="24" t="n">
        <v>6</v>
      </c>
      <c r="AJ14" s="24"/>
      <c r="AK14" s="24"/>
      <c r="AL14" s="24"/>
      <c r="AM14" s="24"/>
      <c r="AN14" s="24"/>
      <c r="AO14" s="29"/>
      <c r="AP14" s="28" t="n">
        <v>6</v>
      </c>
      <c r="AQ14" s="24" t="n">
        <v>6</v>
      </c>
      <c r="AR14" s="24" t="n">
        <v>6</v>
      </c>
      <c r="AS14" s="24" t="n">
        <v>6</v>
      </c>
      <c r="AT14" s="24" t="n">
        <v>6</v>
      </c>
      <c r="AU14" s="24" t="n">
        <v>6</v>
      </c>
      <c r="AV14" s="24"/>
      <c r="AW14" s="24"/>
      <c r="AX14" s="24"/>
      <c r="AY14" s="24"/>
      <c r="AZ14" s="24"/>
      <c r="BA14" s="29"/>
      <c r="BB14" s="28" t="n">
        <v>2</v>
      </c>
      <c r="BC14" s="24" t="n">
        <v>7</v>
      </c>
      <c r="BD14" s="24" t="n">
        <v>1</v>
      </c>
      <c r="BE14" s="24" t="n">
        <v>4</v>
      </c>
      <c r="BF14" s="24" t="n">
        <v>2</v>
      </c>
      <c r="BG14" s="24" t="n">
        <v>4</v>
      </c>
      <c r="BH14" s="24"/>
      <c r="BI14" s="24"/>
      <c r="BJ14" s="24"/>
      <c r="BK14" s="24"/>
      <c r="BL14" s="24"/>
      <c r="BM14" s="29"/>
      <c r="BN14" s="28" t="n">
        <v>6</v>
      </c>
      <c r="BO14" s="24" t="n">
        <v>6</v>
      </c>
      <c r="BP14" s="24" t="n">
        <v>6</v>
      </c>
      <c r="BQ14" s="24" t="n">
        <v>6</v>
      </c>
      <c r="BR14" s="24" t="n">
        <v>6</v>
      </c>
      <c r="BS14" s="24" t="n">
        <v>6</v>
      </c>
      <c r="BT14" s="24"/>
      <c r="BU14" s="24"/>
      <c r="BV14" s="24"/>
      <c r="BW14" s="24"/>
      <c r="BX14" s="24"/>
      <c r="BY14" s="29"/>
    </row>
    <row r="15" customFormat="false" ht="45" hidden="false" customHeight="true" outlineLevel="0" collapsed="false">
      <c r="B15" s="24"/>
      <c r="C15" s="25" t="s">
        <v>25</v>
      </c>
      <c r="D15" s="35" t="s">
        <v>26</v>
      </c>
      <c r="E15" s="26" t="s">
        <v>19</v>
      </c>
      <c r="F15" s="27" t="n">
        <f aca="false">R15+AD15+AP15+BB15+BN15</f>
        <v>0</v>
      </c>
      <c r="G15" s="33" t="n">
        <f aca="false">S15+AE15+AQ15+BC15+BO15</f>
        <v>0</v>
      </c>
      <c r="H15" s="33" t="n">
        <f aca="false">T15+AF15+AR15+BD15+BP15</f>
        <v>0</v>
      </c>
      <c r="I15" s="33" t="n">
        <f aca="false">U15+AG15+AS15+BE15+BQ15</f>
        <v>0</v>
      </c>
      <c r="J15" s="33" t="n">
        <f aca="false">V15+AH15+AT15+BF15+BR15</f>
        <v>0</v>
      </c>
      <c r="K15" s="33" t="n">
        <f aca="false">W15+AI15+AU15+BG15+BS15</f>
        <v>0</v>
      </c>
      <c r="L15" s="33" t="n">
        <f aca="false">X15+AJ15+AV15+BH15+BT15</f>
        <v>0</v>
      </c>
      <c r="M15" s="33" t="n">
        <f aca="false">Y15+AK15+AW15+BI15+BU15</f>
        <v>0</v>
      </c>
      <c r="N15" s="33" t="n">
        <f aca="false">Z15+AL15+AX15+BJ15+BV15</f>
        <v>0</v>
      </c>
      <c r="O15" s="33" t="n">
        <f aca="false">AA15+AM15+AY15+BK15+BW15</f>
        <v>0</v>
      </c>
      <c r="P15" s="33" t="n">
        <f aca="false">AB15+AN15+AZ15+BL15+BX15</f>
        <v>0</v>
      </c>
      <c r="Q15" s="34" t="n">
        <f aca="false">AC15+AO15+BA15+BM15+BY15</f>
        <v>0</v>
      </c>
      <c r="R15" s="28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9"/>
      <c r="AD15" s="28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9"/>
      <c r="AP15" s="28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9"/>
      <c r="BB15" s="28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9"/>
      <c r="BN15" s="28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9"/>
    </row>
    <row r="16" customFormat="false" ht="45" hidden="false" customHeight="true" outlineLevel="0" collapsed="false">
      <c r="B16" s="24"/>
      <c r="C16" s="25" t="s">
        <v>28</v>
      </c>
      <c r="D16" s="35"/>
      <c r="E16" s="26" t="s">
        <v>19</v>
      </c>
      <c r="F16" s="27" t="n">
        <f aca="false">R16+AD16+AP16+BB16+BN16</f>
        <v>47058</v>
      </c>
      <c r="G16" s="33" t="n">
        <f aca="false">S16+AE16+AQ16+BC16+BO16</f>
        <v>46146.43</v>
      </c>
      <c r="H16" s="33" t="n">
        <f aca="false">T16+AF16+AR16+BD16+BP16</f>
        <v>51902</v>
      </c>
      <c r="I16" s="33" t="n">
        <f aca="false">U16+AG16+AS16+BE16+BQ16</f>
        <v>47952.96</v>
      </c>
      <c r="J16" s="33" t="n">
        <f aca="false">V16+AH16+AT16+BF16+BR16</f>
        <v>46328.11</v>
      </c>
      <c r="K16" s="33" t="n">
        <f aca="false">W16+AI16+AU16+BG16+BS16</f>
        <v>49187.34</v>
      </c>
      <c r="L16" s="33" t="n">
        <f aca="false">X16+AJ16+AV16+BH16+BT16</f>
        <v>0</v>
      </c>
      <c r="M16" s="33" t="n">
        <f aca="false">Y16+AK16+AW16+BI16+BU16</f>
        <v>0</v>
      </c>
      <c r="N16" s="33" t="n">
        <f aca="false">Z16+AL16+AX16+BJ16+BV16</f>
        <v>0</v>
      </c>
      <c r="O16" s="33" t="n">
        <f aca="false">AA16+AM16+AY16+BK16+BW16</f>
        <v>0</v>
      </c>
      <c r="P16" s="33" t="n">
        <f aca="false">AB16+AN16+AZ16+BL16+BX16</f>
        <v>0</v>
      </c>
      <c r="Q16" s="34" t="n">
        <f aca="false">AC16+AO16+BA16+BM16+BY16</f>
        <v>0</v>
      </c>
      <c r="R16" s="28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9"/>
      <c r="AD16" s="28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6"/>
      <c r="AP16" s="28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9"/>
      <c r="BB16" s="28" t="n">
        <v>47058</v>
      </c>
      <c r="BC16" s="24" t="n">
        <v>46146.43</v>
      </c>
      <c r="BD16" s="24" t="n">
        <v>51902</v>
      </c>
      <c r="BE16" s="24" t="n">
        <v>47952.96</v>
      </c>
      <c r="BF16" s="24" t="n">
        <v>46328.11</v>
      </c>
      <c r="BG16" s="24" t="n">
        <v>49187.34</v>
      </c>
      <c r="BH16" s="24"/>
      <c r="BI16" s="24"/>
      <c r="BJ16" s="24"/>
      <c r="BK16" s="24"/>
      <c r="BL16" s="24"/>
      <c r="BM16" s="29"/>
      <c r="BN16" s="28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9"/>
    </row>
    <row r="17" customFormat="false" ht="45.75" hidden="false" customHeight="true" outlineLevel="0" collapsed="false">
      <c r="B17" s="24"/>
      <c r="C17" s="25" t="s">
        <v>30</v>
      </c>
      <c r="D17" s="35"/>
      <c r="E17" s="26" t="s">
        <v>19</v>
      </c>
      <c r="F17" s="27" t="n">
        <f aca="false">R17+AD17+AP17+BB17+BN17</f>
        <v>0</v>
      </c>
      <c r="G17" s="36" t="n">
        <f aca="false">S17+AE17+AQ17+BC17+BO17</f>
        <v>0</v>
      </c>
      <c r="H17" s="36" t="n">
        <f aca="false">T17+AF17+AR17+BD17+BP17</f>
        <v>0</v>
      </c>
      <c r="I17" s="36" t="n">
        <f aca="false">U17+AG17+AS17+BE17+BQ17</f>
        <v>0</v>
      </c>
      <c r="J17" s="36" t="n">
        <f aca="false">V17+AH17+AT17+BF17+BR17</f>
        <v>0</v>
      </c>
      <c r="K17" s="36" t="n">
        <f aca="false">W17+AI17+AU17+BG17+BS17</f>
        <v>0</v>
      </c>
      <c r="L17" s="36" t="n">
        <f aca="false">X17+AJ17+AV17+BH17+BT17</f>
        <v>0</v>
      </c>
      <c r="M17" s="36" t="n">
        <f aca="false">Y17+AK17+AW17+BI17+BU17</f>
        <v>0</v>
      </c>
      <c r="N17" s="36" t="n">
        <f aca="false">Z17+AL17+AX17+BJ17+BV17</f>
        <v>0</v>
      </c>
      <c r="O17" s="36" t="n">
        <f aca="false">AA17+AM17+AY17+BK17+BW17</f>
        <v>0</v>
      </c>
      <c r="P17" s="36" t="n">
        <f aca="false">AB17+AN17+AZ17+BL17+BX17</f>
        <v>0</v>
      </c>
      <c r="Q17" s="37" t="n">
        <f aca="false">AC17+AO17+BA17+BM17+BY17</f>
        <v>0</v>
      </c>
      <c r="R17" s="38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40"/>
      <c r="AD17" s="38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  <c r="AP17" s="38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40"/>
      <c r="BB17" s="38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40"/>
      <c r="BN17" s="38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40"/>
    </row>
    <row r="18" customFormat="false" ht="15" hidden="false" customHeight="false" outlineLevel="0" collapsed="false">
      <c r="B18" s="41"/>
      <c r="C18" s="42"/>
      <c r="D18" s="42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</row>
    <row r="19" customFormat="false" ht="15" hidden="false" customHeight="false" outlineLevel="0" collapsed="false">
      <c r="B19" s="41"/>
      <c r="C19" s="42"/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</row>
    <row r="20" customFormat="false" ht="15" hidden="false" customHeight="false" outlineLevel="0" collapsed="false">
      <c r="B20" s="41"/>
      <c r="C20" s="42"/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</row>
    <row r="21" customFormat="false" ht="15" hidden="false" customHeight="false" outlineLevel="0" collapsed="false">
      <c r="B21" s="41"/>
      <c r="C21" s="42"/>
      <c r="D21" s="42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</row>
    <row r="22" customFormat="false" ht="15" hidden="false" customHeight="false" outlineLevel="0" collapsed="false">
      <c r="B22" s="41"/>
      <c r="C22" s="42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</row>
    <row r="23" customFormat="false" ht="15" hidden="false" customHeight="false" outlineLevel="0" collapsed="false">
      <c r="B23" s="41"/>
      <c r="C23" s="42"/>
      <c r="D23" s="42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</row>
    <row r="24" customFormat="false" ht="15" hidden="false" customHeight="false" outlineLevel="0" collapsed="false">
      <c r="B24" s="41"/>
      <c r="C24" s="42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</row>
    <row r="25" customFormat="false" ht="15" hidden="false" customHeight="false" outlineLevel="0" collapsed="false">
      <c r="B25" s="41"/>
      <c r="C25" s="42"/>
      <c r="D25" s="4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</row>
    <row r="26" customFormat="false" ht="15" hidden="false" customHeight="false" outlineLevel="0" collapsed="false">
      <c r="B26" s="41"/>
      <c r="C26" s="42"/>
      <c r="D26" s="4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</row>
    <row r="27" customFormat="false" ht="15" hidden="false" customHeight="false" outlineLevel="0" collapsed="false">
      <c r="B27" s="41"/>
      <c r="C27" s="42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</row>
    <row r="28" customFormat="false" ht="15" hidden="false" customHeight="false" outlineLevel="0" collapsed="false">
      <c r="B28" s="41"/>
      <c r="C28" s="42"/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 customFormat="false" ht="15" hidden="false" customHeight="false" outlineLevel="0" collapsed="false">
      <c r="B29" s="41"/>
      <c r="C29" s="42"/>
      <c r="D29" s="42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</row>
    <row r="30" customFormat="false" ht="15" hidden="false" customHeight="false" outlineLevel="0" collapsed="false">
      <c r="B30" s="41"/>
      <c r="C30" s="42"/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</row>
    <row r="31" customFormat="false" ht="15" hidden="false" customHeight="false" outlineLevel="0" collapsed="false">
      <c r="B31" s="41"/>
      <c r="C31" s="42"/>
      <c r="D31" s="42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customFormat="false" ht="15" hidden="false" customHeight="false" outlineLevel="0" collapsed="false">
      <c r="B32" s="41"/>
      <c r="C32" s="42"/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customFormat="false" ht="15" hidden="false" customHeight="false" outlineLevel="0" collapsed="false">
      <c r="B33" s="41"/>
      <c r="C33" s="42"/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</row>
    <row r="34" customFormat="false" ht="15" hidden="false" customHeight="false" outlineLevel="0" collapsed="false">
      <c r="B34" s="41"/>
      <c r="C34" s="42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customFormat="false" ht="15" hidden="false" customHeight="false" outlineLevel="0" collapsed="false">
      <c r="B35" s="41"/>
      <c r="C35" s="42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  <row r="36" customFormat="false" ht="15" hidden="false" customHeight="false" outlineLevel="0" collapsed="false">
      <c r="B36" s="41"/>
      <c r="C36" s="42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customFormat="false" ht="15" hidden="false" customHeight="false" outlineLevel="0" collapsed="false">
      <c r="B37" s="41"/>
      <c r="C37" s="42"/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customFormat="false" ht="15" hidden="false" customHeight="false" outlineLevel="0" collapsed="false">
      <c r="B38" s="41"/>
      <c r="C38" s="42"/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customFormat="false" ht="15" hidden="false" customHeight="false" outlineLevel="0" collapsed="false">
      <c r="B39" s="41"/>
      <c r="C39" s="42"/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  <row r="40" customFormat="false" ht="15" hidden="false" customHeight="false" outlineLevel="0" collapsed="false">
      <c r="B40" s="41"/>
      <c r="C40" s="42"/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customFormat="false" ht="15" hidden="false" customHeight="false" outlineLevel="0" collapsed="false">
      <c r="B41" s="41"/>
      <c r="C41" s="42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customFormat="false" ht="15" hidden="false" customHeight="false" outlineLevel="0" collapsed="false">
      <c r="B42" s="41"/>
      <c r="C42" s="42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customFormat="false" ht="15" hidden="false" customHeight="false" outlineLevel="0" collapsed="false">
      <c r="B43" s="41"/>
      <c r="C43" s="42"/>
      <c r="D43" s="42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customFormat="false" ht="15" hidden="false" customHeight="false" outlineLevel="0" collapsed="false">
      <c r="B44" s="41"/>
      <c r="C44" s="42"/>
      <c r="D44" s="42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customFormat="false" ht="15" hidden="false" customHeight="false" outlineLevel="0" collapsed="false">
      <c r="B45" s="41"/>
      <c r="C45" s="42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</row>
    <row r="46" customFormat="false" ht="15" hidden="false" customHeight="false" outlineLevel="0" collapsed="false">
      <c r="B46" s="41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customFormat="false" ht="15" hidden="false" customHeight="false" outlineLevel="0" collapsed="false">
      <c r="B47" s="41"/>
      <c r="C47" s="42"/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</row>
    <row r="48" customFormat="false" ht="15" hidden="false" customHeight="false" outlineLevel="0" collapsed="false">
      <c r="B48" s="41"/>
      <c r="C48" s="42"/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</row>
    <row r="49" customFormat="false" ht="15" hidden="false" customHeight="false" outlineLevel="0" collapsed="false">
      <c r="B49" s="41"/>
      <c r="C49" s="42"/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</row>
    <row r="50" customFormat="false" ht="15" hidden="false" customHeight="false" outlineLevel="0" collapsed="false">
      <c r="B50" s="41"/>
      <c r="C50" s="42"/>
      <c r="D50" s="42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customFormat="false" ht="15" hidden="false" customHeight="false" outlineLevel="0" collapsed="false">
      <c r="B51" s="41"/>
      <c r="C51" s="42"/>
      <c r="D51" s="42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</row>
    <row r="52" customFormat="false" ht="15" hidden="false" customHeight="false" outlineLevel="0" collapsed="false">
      <c r="B52" s="41"/>
      <c r="C52" s="42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 customFormat="false" ht="15" hidden="false" customHeight="false" outlineLevel="0" collapsed="false">
      <c r="B53" s="41"/>
      <c r="C53" s="42"/>
      <c r="D53" s="42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</row>
    <row r="54" customFormat="false" ht="15" hidden="false" customHeight="false" outlineLevel="0" collapsed="false">
      <c r="B54" s="41"/>
      <c r="C54" s="42"/>
      <c r="D54" s="42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</row>
    <row r="55" customFormat="false" ht="15" hidden="false" customHeight="false" outlineLevel="0" collapsed="false">
      <c r="B55" s="41"/>
      <c r="C55" s="42"/>
      <c r="D55" s="42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customFormat="false" ht="15" hidden="false" customHeight="false" outlineLevel="0" collapsed="false">
      <c r="B56" s="41"/>
      <c r="C56" s="42"/>
      <c r="D56" s="42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</row>
  </sheetData>
  <mergeCells count="10">
    <mergeCell ref="F3:Q3"/>
    <mergeCell ref="R3:AC3"/>
    <mergeCell ref="AD3:AO3"/>
    <mergeCell ref="AP3:BA3"/>
    <mergeCell ref="BB3:BM3"/>
    <mergeCell ref="BN3:BY3"/>
    <mergeCell ref="B5:B17"/>
    <mergeCell ref="D11:D12"/>
    <mergeCell ref="D13:D14"/>
    <mergeCell ref="D15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X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G8" activeCellId="0" sqref="G8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44.85"/>
    <col collapsed="false" customWidth="true" hidden="false" outlineLevel="0" max="5" min="4" style="1" width="35.43"/>
    <col collapsed="false" customWidth="true" hidden="false" outlineLevel="0" max="6" min="6" style="0" width="9.29"/>
    <col collapsed="false" customWidth="true" hidden="false" outlineLevel="0" max="12" min="7" style="0" width="9.71"/>
  </cols>
  <sheetData>
    <row r="3" customFormat="false" ht="30" hidden="false" customHeight="true" outlineLevel="0" collapsed="false">
      <c r="B3" s="2"/>
      <c r="G3" s="13" t="s">
        <v>31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 t="s">
        <v>42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 t="s">
        <v>43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 t="s">
        <v>36</v>
      </c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 t="s">
        <v>44</v>
      </c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 t="s">
        <v>45</v>
      </c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 t="s">
        <v>46</v>
      </c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47</v>
      </c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</row>
    <row r="4" customFormat="false" ht="32.25" hidden="false" customHeight="true" outlineLevel="0" collapsed="false">
      <c r="B4" s="15" t="s">
        <v>38</v>
      </c>
      <c r="C4" s="16" t="s">
        <v>1</v>
      </c>
      <c r="D4" s="16" t="s">
        <v>2</v>
      </c>
      <c r="E4" s="16" t="s">
        <v>3</v>
      </c>
      <c r="F4" s="17" t="s">
        <v>4</v>
      </c>
      <c r="G4" s="18" t="n">
        <v>46023</v>
      </c>
      <c r="H4" s="19" t="n">
        <v>46054</v>
      </c>
      <c r="I4" s="19" t="n">
        <v>46082</v>
      </c>
      <c r="J4" s="19" t="n">
        <v>46113</v>
      </c>
      <c r="K4" s="19" t="n">
        <v>46143</v>
      </c>
      <c r="L4" s="19" t="n">
        <v>46174</v>
      </c>
      <c r="M4" s="19" t="n">
        <v>46204</v>
      </c>
      <c r="N4" s="19" t="n">
        <v>46235</v>
      </c>
      <c r="O4" s="19" t="n">
        <v>46266</v>
      </c>
      <c r="P4" s="19" t="n">
        <v>46296</v>
      </c>
      <c r="Q4" s="19" t="n">
        <v>46327</v>
      </c>
      <c r="R4" s="20" t="n">
        <v>46357</v>
      </c>
      <c r="S4" s="21" t="n">
        <v>46023</v>
      </c>
      <c r="T4" s="22" t="n">
        <v>46054</v>
      </c>
      <c r="U4" s="22" t="n">
        <v>46082</v>
      </c>
      <c r="V4" s="22" t="n">
        <v>46113</v>
      </c>
      <c r="W4" s="22" t="n">
        <v>46143</v>
      </c>
      <c r="X4" s="22" t="n">
        <v>46174</v>
      </c>
      <c r="Y4" s="22" t="n">
        <v>46204</v>
      </c>
      <c r="Z4" s="22" t="n">
        <v>46235</v>
      </c>
      <c r="AA4" s="22" t="n">
        <v>46266</v>
      </c>
      <c r="AB4" s="22" t="n">
        <v>46296</v>
      </c>
      <c r="AC4" s="22" t="n">
        <v>46327</v>
      </c>
      <c r="AD4" s="23" t="n">
        <v>46357</v>
      </c>
      <c r="AE4" s="21" t="n">
        <v>46023</v>
      </c>
      <c r="AF4" s="22" t="n">
        <v>46054</v>
      </c>
      <c r="AG4" s="22" t="n">
        <v>46082</v>
      </c>
      <c r="AH4" s="22" t="n">
        <v>46113</v>
      </c>
      <c r="AI4" s="22" t="n">
        <v>46143</v>
      </c>
      <c r="AJ4" s="22" t="n">
        <v>46174</v>
      </c>
      <c r="AK4" s="22" t="n">
        <v>46204</v>
      </c>
      <c r="AL4" s="22" t="n">
        <v>46235</v>
      </c>
      <c r="AM4" s="22" t="n">
        <v>46266</v>
      </c>
      <c r="AN4" s="22" t="n">
        <v>46296</v>
      </c>
      <c r="AO4" s="22" t="n">
        <v>46327</v>
      </c>
      <c r="AP4" s="23" t="n">
        <v>46357</v>
      </c>
      <c r="AQ4" s="21" t="n">
        <v>46023</v>
      </c>
      <c r="AR4" s="22" t="n">
        <v>46054</v>
      </c>
      <c r="AS4" s="22" t="n">
        <v>46082</v>
      </c>
      <c r="AT4" s="22" t="n">
        <v>46113</v>
      </c>
      <c r="AU4" s="22" t="n">
        <v>46143</v>
      </c>
      <c r="AV4" s="22" t="n">
        <v>46174</v>
      </c>
      <c r="AW4" s="22" t="n">
        <v>46204</v>
      </c>
      <c r="AX4" s="22" t="n">
        <v>46235</v>
      </c>
      <c r="AY4" s="22" t="n">
        <v>46266</v>
      </c>
      <c r="AZ4" s="22" t="n">
        <v>46296</v>
      </c>
      <c r="BA4" s="22" t="n">
        <v>46327</v>
      </c>
      <c r="BB4" s="23" t="n">
        <v>46357</v>
      </c>
      <c r="BC4" s="21" t="n">
        <v>46023</v>
      </c>
      <c r="BD4" s="22" t="n">
        <v>46054</v>
      </c>
      <c r="BE4" s="22" t="n">
        <v>46082</v>
      </c>
      <c r="BF4" s="22" t="n">
        <v>46113</v>
      </c>
      <c r="BG4" s="22" t="n">
        <v>46143</v>
      </c>
      <c r="BH4" s="22" t="n">
        <v>46174</v>
      </c>
      <c r="BI4" s="22" t="n">
        <v>46204</v>
      </c>
      <c r="BJ4" s="22" t="n">
        <v>46235</v>
      </c>
      <c r="BK4" s="22" t="n">
        <v>46266</v>
      </c>
      <c r="BL4" s="22" t="n">
        <v>46296</v>
      </c>
      <c r="BM4" s="22" t="n">
        <v>46327</v>
      </c>
      <c r="BN4" s="23" t="n">
        <v>46357</v>
      </c>
      <c r="BO4" s="21" t="n">
        <v>46023</v>
      </c>
      <c r="BP4" s="22" t="n">
        <v>46054</v>
      </c>
      <c r="BQ4" s="22" t="n">
        <v>46082</v>
      </c>
      <c r="BR4" s="22" t="n">
        <v>46113</v>
      </c>
      <c r="BS4" s="22" t="n">
        <v>46143</v>
      </c>
      <c r="BT4" s="22" t="n">
        <v>46174</v>
      </c>
      <c r="BU4" s="22" t="n">
        <v>46204</v>
      </c>
      <c r="BV4" s="22" t="n">
        <v>46235</v>
      </c>
      <c r="BW4" s="22" t="n">
        <v>46266</v>
      </c>
      <c r="BX4" s="22" t="n">
        <v>46296</v>
      </c>
      <c r="BY4" s="22" t="n">
        <v>46327</v>
      </c>
      <c r="BZ4" s="23" t="n">
        <v>46357</v>
      </c>
      <c r="CA4" s="21" t="n">
        <v>46023</v>
      </c>
      <c r="CB4" s="22" t="n">
        <v>46054</v>
      </c>
      <c r="CC4" s="22" t="n">
        <v>46082</v>
      </c>
      <c r="CD4" s="22" t="n">
        <v>46113</v>
      </c>
      <c r="CE4" s="22" t="n">
        <v>46143</v>
      </c>
      <c r="CF4" s="22" t="n">
        <v>46174</v>
      </c>
      <c r="CG4" s="22" t="n">
        <v>46204</v>
      </c>
      <c r="CH4" s="22" t="n">
        <v>46235</v>
      </c>
      <c r="CI4" s="22" t="n">
        <v>46266</v>
      </c>
      <c r="CJ4" s="22" t="n">
        <v>46296</v>
      </c>
      <c r="CK4" s="22" t="n">
        <v>46327</v>
      </c>
      <c r="CL4" s="23" t="n">
        <v>46357</v>
      </c>
      <c r="CM4" s="21" t="n">
        <v>46023</v>
      </c>
      <c r="CN4" s="22" t="n">
        <v>46054</v>
      </c>
      <c r="CO4" s="22" t="n">
        <v>46082</v>
      </c>
      <c r="CP4" s="22" t="n">
        <v>46113</v>
      </c>
      <c r="CQ4" s="22" t="n">
        <v>46143</v>
      </c>
      <c r="CR4" s="22" t="n">
        <v>46174</v>
      </c>
      <c r="CS4" s="22" t="n">
        <v>46204</v>
      </c>
      <c r="CT4" s="22" t="n">
        <v>46235</v>
      </c>
      <c r="CU4" s="22" t="n">
        <v>46266</v>
      </c>
      <c r="CV4" s="22" t="n">
        <v>46296</v>
      </c>
      <c r="CW4" s="22" t="n">
        <v>46327</v>
      </c>
      <c r="CX4" s="23" t="n">
        <v>46357</v>
      </c>
    </row>
    <row r="5" customFormat="false" ht="45" hidden="false" customHeight="true" outlineLevel="0" collapsed="false">
      <c r="B5" s="24"/>
      <c r="C5" s="25" t="s">
        <v>6</v>
      </c>
      <c r="D5" s="25"/>
      <c r="E5" s="25"/>
      <c r="F5" s="26" t="s">
        <v>7</v>
      </c>
      <c r="G5" s="27" t="n">
        <f aca="false">S5+AE5+AQ5+BC5+BO5+CA5+CM5</f>
        <v>0</v>
      </c>
      <c r="H5" s="27" t="n">
        <f aca="false">T5+AF5+AR5+BD5+BP5+CB5+CN5</f>
        <v>0</v>
      </c>
      <c r="I5" s="27" t="n">
        <f aca="false">U5+AG5+AS5+BE5+BQ5+CC5+CO5</f>
        <v>0</v>
      </c>
      <c r="J5" s="27" t="n">
        <f aca="false">V5+AH5+AT5+BF5+BR5+CD5+CP5</f>
        <v>0</v>
      </c>
      <c r="K5" s="27" t="n">
        <f aca="false">W5+AI5+AU5+BG5+BS5+CE5+CQ5</f>
        <v>0</v>
      </c>
      <c r="L5" s="27" t="n">
        <f aca="false">X5+AJ5+AV5+BH5+BT5+CF5+CR5</f>
        <v>0</v>
      </c>
      <c r="M5" s="27" t="n">
        <f aca="false">Y5+AK5+AW5+BI5+BU5+CG5+CS5</f>
        <v>0</v>
      </c>
      <c r="N5" s="27" t="n">
        <f aca="false">Z5+AL5+AX5+BJ5+BV5+CH5+CT5</f>
        <v>0</v>
      </c>
      <c r="O5" s="27" t="n">
        <f aca="false">AA5+AM5+AY5+BK5+BW5+CI5+CU5</f>
        <v>0</v>
      </c>
      <c r="P5" s="27" t="n">
        <f aca="false">AB5+AN5+AZ5+BL5+BX5+CJ5+CV5</f>
        <v>0</v>
      </c>
      <c r="Q5" s="27" t="n">
        <f aca="false">AC5+AO5+BA5+BM5+BY5+CK5+CW5</f>
        <v>0</v>
      </c>
      <c r="R5" s="27" t="n">
        <f aca="false">AD5+AP5+BB5+BN5+BZ5+CL5+CX5</f>
        <v>0</v>
      </c>
      <c r="S5" s="28"/>
      <c r="T5" s="24"/>
      <c r="U5" s="24"/>
      <c r="V5" s="24"/>
      <c r="W5" s="24"/>
      <c r="X5" s="24"/>
      <c r="Y5" s="24"/>
      <c r="Z5" s="24"/>
      <c r="AA5" s="24"/>
      <c r="AB5" s="24"/>
      <c r="AC5" s="24"/>
      <c r="AD5" s="29"/>
      <c r="AE5" s="28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9"/>
      <c r="AQ5" s="28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9"/>
      <c r="BC5" s="28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9"/>
      <c r="BO5" s="28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9"/>
      <c r="CA5" s="28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9"/>
      <c r="CM5" s="28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9"/>
    </row>
    <row r="6" customFormat="false" ht="30" hidden="false" customHeight="true" outlineLevel="0" collapsed="false">
      <c r="B6" s="24"/>
      <c r="C6" s="25" t="s">
        <v>8</v>
      </c>
      <c r="D6" s="25"/>
      <c r="E6" s="25" t="s">
        <v>9</v>
      </c>
      <c r="F6" s="26" t="s">
        <v>7</v>
      </c>
      <c r="G6" s="27" t="n">
        <f aca="false">S6+AE6+AQ6+BC6+BO6+CA6+CM6</f>
        <v>106400</v>
      </c>
      <c r="H6" s="27" t="n">
        <f aca="false">T6+AF6+AR6+BD6+BP6+CB6+CN6</f>
        <v>125545</v>
      </c>
      <c r="I6" s="27" t="n">
        <f aca="false">U6+AG6+AS6+BE6+BQ6+CC6+CO6</f>
        <v>104475</v>
      </c>
      <c r="J6" s="27" t="n">
        <f aca="false">V6+AH6+AT6+BF6+BR6+CD6+CP6</f>
        <v>104335</v>
      </c>
      <c r="K6" s="27" t="n">
        <f aca="false">W6+AI6+AU6+BG6+BS6+CE6+CQ6</f>
        <v>122465</v>
      </c>
      <c r="L6" s="27" t="n">
        <f aca="false">X6+AJ6+AV6+BH6+BT6+CF6+CR6</f>
        <v>110565</v>
      </c>
      <c r="M6" s="27" t="n">
        <f aca="false">Y6+AK6+AW6+BI6+BU6+CG6+CS6</f>
        <v>0</v>
      </c>
      <c r="N6" s="27" t="n">
        <f aca="false">Z6+AL6+AX6+BJ6+BV6+CH6+CT6</f>
        <v>0</v>
      </c>
      <c r="O6" s="27" t="n">
        <f aca="false">AA6+AM6+AY6+BK6+BW6+CI6+CU6</f>
        <v>0</v>
      </c>
      <c r="P6" s="27" t="n">
        <f aca="false">AB6+AN6+AZ6+BL6+BX6+CJ6+CV6</f>
        <v>0</v>
      </c>
      <c r="Q6" s="27" t="n">
        <f aca="false">AC6+AO6+BA6+BM6+BY6+CK6+CW6</f>
        <v>0</v>
      </c>
      <c r="R6" s="27" t="n">
        <f aca="false">AD6+AP6+BB6+BN6+BZ6+CL6+CX6</f>
        <v>0</v>
      </c>
      <c r="S6" s="28"/>
      <c r="T6" s="24"/>
      <c r="U6" s="24"/>
      <c r="V6" s="24"/>
      <c r="W6" s="24"/>
      <c r="X6" s="24"/>
      <c r="Y6" s="24"/>
      <c r="Z6" s="24"/>
      <c r="AA6" s="24"/>
      <c r="AB6" s="24"/>
      <c r="AC6" s="24"/>
      <c r="AD6" s="29"/>
      <c r="AE6" s="28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9"/>
      <c r="AQ6" s="30" t="n">
        <v>106400</v>
      </c>
      <c r="AR6" s="31" t="n">
        <v>125545</v>
      </c>
      <c r="AS6" s="31" t="n">
        <v>104475</v>
      </c>
      <c r="AT6" s="31" t="n">
        <v>104335</v>
      </c>
      <c r="AU6" s="31" t="n">
        <v>122465</v>
      </c>
      <c r="AV6" s="31" t="n">
        <v>110565</v>
      </c>
      <c r="AW6" s="31"/>
      <c r="AX6" s="31"/>
      <c r="AY6" s="31"/>
      <c r="AZ6" s="31"/>
      <c r="BA6" s="31"/>
      <c r="BB6" s="32"/>
      <c r="BC6" s="28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9"/>
      <c r="BO6" s="28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9"/>
      <c r="CA6" s="28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9"/>
      <c r="CM6" s="28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9"/>
    </row>
    <row r="7" customFormat="false" ht="30" hidden="false" customHeight="true" outlineLevel="0" collapsed="false">
      <c r="B7" s="24"/>
      <c r="C7" s="25" t="s">
        <v>10</v>
      </c>
      <c r="D7" s="25"/>
      <c r="E7" s="25" t="s">
        <v>11</v>
      </c>
      <c r="F7" s="26" t="s">
        <v>12</v>
      </c>
      <c r="G7" s="27" t="n">
        <f aca="false">S7+AE7+AQ7+BC7+BO7+CA7+CM7</f>
        <v>160.233</v>
      </c>
      <c r="H7" s="27" t="n">
        <f aca="false">T7+AF7+AR7+BD7+BP7+CB7+CN7</f>
        <v>185</v>
      </c>
      <c r="I7" s="27" t="n">
        <f aca="false">U7+AG7+AS7+BE7+BQ7+CC7+CO7</f>
        <v>134.6</v>
      </c>
      <c r="J7" s="27" t="n">
        <f aca="false">V7+AH7+AT7+BF7+BR7+CD7+CP7</f>
        <v>179.713</v>
      </c>
      <c r="K7" s="27" t="n">
        <f aca="false">W7+AI7+AU7+BG7+BS7+CE7+CQ7</f>
        <v>181</v>
      </c>
      <c r="L7" s="27" t="n">
        <f aca="false">X7+AJ7+AV7+BH7+BT7+CF7+CR7</f>
        <v>211.633</v>
      </c>
      <c r="M7" s="27" t="n">
        <f aca="false">Y7+AK7+AW7+BI7+BU7+CG7+CS7</f>
        <v>0</v>
      </c>
      <c r="N7" s="27" t="n">
        <f aca="false">Z7+AL7+AX7+BJ7+BV7+CH7+CT7</f>
        <v>0</v>
      </c>
      <c r="O7" s="27" t="n">
        <f aca="false">AA7+AM7+AY7+BK7+BW7+CI7+CU7</f>
        <v>0</v>
      </c>
      <c r="P7" s="27" t="n">
        <f aca="false">AB7+AN7+AZ7+BL7+BX7+CJ7+CV7</f>
        <v>0</v>
      </c>
      <c r="Q7" s="27" t="n">
        <f aca="false">AC7+AO7+BA7+BM7+BY7+CK7+CW7</f>
        <v>0</v>
      </c>
      <c r="R7" s="27" t="n">
        <f aca="false">AD7+AP7+BB7+BN7+BZ7+CL7+CX7</f>
        <v>0</v>
      </c>
      <c r="S7" s="28" t="n">
        <v>10.1</v>
      </c>
      <c r="T7" s="24" t="n">
        <v>0</v>
      </c>
      <c r="U7" s="24" t="n">
        <v>22</v>
      </c>
      <c r="V7" s="24" t="n">
        <v>17.113</v>
      </c>
      <c r="W7" s="24" t="n">
        <v>43.5</v>
      </c>
      <c r="X7" s="24" t="n">
        <v>6</v>
      </c>
      <c r="Y7" s="24"/>
      <c r="Z7" s="24"/>
      <c r="AA7" s="24"/>
      <c r="AB7" s="24"/>
      <c r="AC7" s="24"/>
      <c r="AD7" s="29"/>
      <c r="AE7" s="28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9"/>
      <c r="AQ7" s="28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9"/>
      <c r="BC7" s="28" t="n">
        <v>150.133</v>
      </c>
      <c r="BD7" s="24" t="n">
        <v>134.9</v>
      </c>
      <c r="BE7" s="24" t="n">
        <v>112.6</v>
      </c>
      <c r="BF7" s="24" t="n">
        <v>162.6</v>
      </c>
      <c r="BG7" s="24" t="n">
        <v>137.5</v>
      </c>
      <c r="BH7" s="24" t="n">
        <v>205.633</v>
      </c>
      <c r="BI7" s="24"/>
      <c r="BJ7" s="24"/>
      <c r="BK7" s="24"/>
      <c r="BL7" s="24"/>
      <c r="BM7" s="24"/>
      <c r="BN7" s="29"/>
      <c r="BO7" s="28" t="n">
        <v>0</v>
      </c>
      <c r="BP7" s="24" t="n">
        <v>16.7</v>
      </c>
      <c r="BQ7" s="24" t="n">
        <v>0</v>
      </c>
      <c r="BR7" s="24" t="n">
        <v>0</v>
      </c>
      <c r="BS7" s="24" t="n">
        <v>0</v>
      </c>
      <c r="BT7" s="24" t="n">
        <v>0</v>
      </c>
      <c r="BU7" s="24"/>
      <c r="BV7" s="24"/>
      <c r="BW7" s="24"/>
      <c r="BX7" s="24"/>
      <c r="BY7" s="24"/>
      <c r="BZ7" s="29"/>
      <c r="CA7" s="28" t="n">
        <v>0</v>
      </c>
      <c r="CB7" s="24" t="n">
        <v>16.7</v>
      </c>
      <c r="CC7" s="24" t="n">
        <v>0</v>
      </c>
      <c r="CD7" s="24" t="n">
        <v>0</v>
      </c>
      <c r="CE7" s="24" t="n">
        <v>0</v>
      </c>
      <c r="CF7" s="24" t="n">
        <v>0</v>
      </c>
      <c r="CG7" s="24"/>
      <c r="CH7" s="24"/>
      <c r="CI7" s="24"/>
      <c r="CJ7" s="24"/>
      <c r="CK7" s="24"/>
      <c r="CL7" s="29"/>
      <c r="CM7" s="28" t="n">
        <v>0</v>
      </c>
      <c r="CN7" s="24" t="n">
        <v>16.7</v>
      </c>
      <c r="CO7" s="24" t="n">
        <v>0</v>
      </c>
      <c r="CP7" s="24" t="n">
        <v>0</v>
      </c>
      <c r="CQ7" s="24" t="n">
        <v>0</v>
      </c>
      <c r="CR7" s="24" t="n">
        <v>0</v>
      </c>
      <c r="CS7" s="24"/>
      <c r="CT7" s="24"/>
      <c r="CU7" s="24"/>
      <c r="CV7" s="24"/>
      <c r="CW7" s="24"/>
      <c r="CX7" s="29"/>
    </row>
    <row r="8" customFormat="false" ht="30" hidden="false" customHeight="true" outlineLevel="0" collapsed="false">
      <c r="B8" s="24"/>
      <c r="C8" s="25" t="s">
        <v>13</v>
      </c>
      <c r="D8" s="25"/>
      <c r="E8" s="25"/>
      <c r="F8" s="26" t="s">
        <v>12</v>
      </c>
      <c r="G8" s="27" t="n">
        <f aca="false">S8+AE8+AQ8+BC8+BO8+CA8+CM8</f>
        <v>0</v>
      </c>
      <c r="H8" s="27" t="n">
        <f aca="false">T8+AF8+AR8+BD8+BP8+CB8+CN8</f>
        <v>0</v>
      </c>
      <c r="I8" s="27" t="n">
        <f aca="false">U8+AG8+AS8+BE8+BQ8+CC8+CO8</f>
        <v>0</v>
      </c>
      <c r="J8" s="27" t="n">
        <f aca="false">V8+AH8+AT8+BF8+BR8+CD8+CP8</f>
        <v>0</v>
      </c>
      <c r="K8" s="27" t="n">
        <f aca="false">W8+AI8+AU8+BG8+BS8+CE8+CQ8</f>
        <v>0</v>
      </c>
      <c r="L8" s="27" t="n">
        <f aca="false">X8+AJ8+AV8+BH8+BT8+CF8+CR8</f>
        <v>0</v>
      </c>
      <c r="M8" s="27" t="n">
        <f aca="false">Y8+AK8+AW8+BI8+BU8+CG8+CS8</f>
        <v>0</v>
      </c>
      <c r="N8" s="27" t="n">
        <f aca="false">Z8+AL8+AX8+BJ8+BV8+CH8+CT8</f>
        <v>0</v>
      </c>
      <c r="O8" s="27" t="n">
        <f aca="false">AA8+AM8+AY8+BK8+BW8+CI8+CU8</f>
        <v>0</v>
      </c>
      <c r="P8" s="27" t="n">
        <f aca="false">AB8+AN8+AZ8+BL8+BX8+CJ8+CV8</f>
        <v>0</v>
      </c>
      <c r="Q8" s="27" t="n">
        <f aca="false">AC8+AO8+BA8+BM8+BY8+CK8+CW8</f>
        <v>0</v>
      </c>
      <c r="R8" s="27" t="n">
        <f aca="false">AD8+AP8+BB8+BN8+BZ8+CL8+CX8</f>
        <v>0</v>
      </c>
      <c r="S8" s="28"/>
      <c r="T8" s="24"/>
      <c r="U8" s="24"/>
      <c r="V8" s="24"/>
      <c r="W8" s="24"/>
      <c r="X8" s="24"/>
      <c r="Y8" s="24"/>
      <c r="Z8" s="24"/>
      <c r="AA8" s="24"/>
      <c r="AB8" s="24"/>
      <c r="AC8" s="24"/>
      <c r="AD8" s="29"/>
      <c r="AE8" s="28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9"/>
      <c r="AQ8" s="28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9"/>
      <c r="BC8" s="28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9"/>
      <c r="BO8" s="28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9"/>
      <c r="CA8" s="28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9"/>
      <c r="CM8" s="28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9"/>
    </row>
    <row r="9" customFormat="false" ht="30" hidden="false" customHeight="true" outlineLevel="0" collapsed="false">
      <c r="B9" s="24"/>
      <c r="C9" s="25" t="s">
        <v>14</v>
      </c>
      <c r="D9" s="25"/>
      <c r="E9" s="25" t="s">
        <v>11</v>
      </c>
      <c r="F9" s="26" t="s">
        <v>12</v>
      </c>
      <c r="G9" s="27" t="n">
        <f aca="false">S9+AE9+AQ9+BC9+BO9+CA9+CM9</f>
        <v>0</v>
      </c>
      <c r="H9" s="27" t="n">
        <f aca="false">T9+AF9+AR9+BD9+BP9+CB9+CN9</f>
        <v>0</v>
      </c>
      <c r="I9" s="27" t="n">
        <f aca="false">U9+AG9+AS9+BE9+BQ9+CC9+CO9</f>
        <v>0</v>
      </c>
      <c r="J9" s="27" t="n">
        <f aca="false">V9+AH9+AT9+BF9+BR9+CD9+CP9</f>
        <v>0</v>
      </c>
      <c r="K9" s="27" t="n">
        <f aca="false">W9+AI9+AU9+BG9+BS9+CE9+CQ9</f>
        <v>0</v>
      </c>
      <c r="L9" s="27" t="n">
        <f aca="false">X9+AJ9+AV9+BH9+BT9+CF9+CR9</f>
        <v>0</v>
      </c>
      <c r="M9" s="27" t="n">
        <f aca="false">Y9+AK9+AW9+BI9+BU9+CG9+CS9</f>
        <v>0</v>
      </c>
      <c r="N9" s="27" t="n">
        <f aca="false">Z9+AL9+AX9+BJ9+BV9+CH9+CT9</f>
        <v>0</v>
      </c>
      <c r="O9" s="27" t="n">
        <f aca="false">AA9+AM9+AY9+BK9+BW9+CI9+CU9</f>
        <v>0</v>
      </c>
      <c r="P9" s="27" t="n">
        <f aca="false">AB9+AN9+AZ9+BL9+BX9+CJ9+CV9</f>
        <v>0</v>
      </c>
      <c r="Q9" s="27" t="n">
        <f aca="false">AC9+AO9+BA9+BM9+BY9+CK9+CW9</f>
        <v>0</v>
      </c>
      <c r="R9" s="27" t="n">
        <f aca="false">AD9+AP9+BB9+BN9+BZ9+CL9+CX9</f>
        <v>0</v>
      </c>
      <c r="S9" s="28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4" t="n">
        <v>0</v>
      </c>
      <c r="Y9" s="24"/>
      <c r="Z9" s="24"/>
      <c r="AA9" s="24"/>
      <c r="AB9" s="24"/>
      <c r="AC9" s="24"/>
      <c r="AD9" s="29"/>
      <c r="AE9" s="28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9"/>
      <c r="AQ9" s="28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9"/>
      <c r="BC9" s="28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/>
      <c r="BJ9" s="24"/>
      <c r="BK9" s="24"/>
      <c r="BL9" s="24"/>
      <c r="BM9" s="24"/>
      <c r="BN9" s="29"/>
      <c r="BO9" s="28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/>
      <c r="BV9" s="24"/>
      <c r="BW9" s="24"/>
      <c r="BX9" s="24"/>
      <c r="BY9" s="24"/>
      <c r="BZ9" s="29"/>
      <c r="CA9" s="28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/>
      <c r="CH9" s="24"/>
      <c r="CI9" s="24"/>
      <c r="CJ9" s="24"/>
      <c r="CK9" s="24"/>
      <c r="CL9" s="29"/>
      <c r="CM9" s="28" t="n">
        <v>0</v>
      </c>
      <c r="CN9" s="24" t="n">
        <v>0</v>
      </c>
      <c r="CO9" s="24" t="n">
        <v>0</v>
      </c>
      <c r="CP9" s="24" t="n">
        <v>0</v>
      </c>
      <c r="CQ9" s="24" t="n">
        <v>0</v>
      </c>
      <c r="CR9" s="24" t="n">
        <v>0</v>
      </c>
      <c r="CS9" s="24"/>
      <c r="CT9" s="24"/>
      <c r="CU9" s="24"/>
      <c r="CV9" s="24"/>
      <c r="CW9" s="24"/>
      <c r="CX9" s="29"/>
    </row>
    <row r="10" customFormat="false" ht="30" hidden="false" customHeight="true" outlineLevel="0" collapsed="false">
      <c r="B10" s="24"/>
      <c r="C10" s="25" t="s">
        <v>15</v>
      </c>
      <c r="D10" s="25"/>
      <c r="E10" s="25"/>
      <c r="F10" s="26" t="s">
        <v>12</v>
      </c>
      <c r="G10" s="27" t="n">
        <f aca="false">S10+AE10+AQ10+BC10+BO10+CA10+CM10</f>
        <v>0</v>
      </c>
      <c r="H10" s="27" t="n">
        <f aca="false">T10+AF10+AR10+BD10+BP10+CB10+CN10</f>
        <v>0</v>
      </c>
      <c r="I10" s="27" t="n">
        <f aca="false">U10+AG10+AS10+BE10+BQ10+CC10+CO10</f>
        <v>0</v>
      </c>
      <c r="J10" s="27" t="n">
        <f aca="false">V10+AH10+AT10+BF10+BR10+CD10+CP10</f>
        <v>0</v>
      </c>
      <c r="K10" s="27" t="n">
        <f aca="false">W10+AI10+AU10+BG10+BS10+CE10+CQ10</f>
        <v>0</v>
      </c>
      <c r="L10" s="27" t="n">
        <f aca="false">X10+AJ10+AV10+BH10+BT10+CF10+CR10</f>
        <v>0</v>
      </c>
      <c r="M10" s="27" t="n">
        <f aca="false">Y10+AK10+AW10+BI10+BU10+CG10+CS10</f>
        <v>0</v>
      </c>
      <c r="N10" s="27" t="n">
        <f aca="false">Z10+AL10+AX10+BJ10+BV10+CH10+CT10</f>
        <v>0</v>
      </c>
      <c r="O10" s="27" t="n">
        <f aca="false">AA10+AM10+AY10+BK10+BW10+CI10+CU10</f>
        <v>0</v>
      </c>
      <c r="P10" s="27" t="n">
        <f aca="false">AB10+AN10+AZ10+BL10+BX10+CJ10+CV10</f>
        <v>0</v>
      </c>
      <c r="Q10" s="27" t="n">
        <f aca="false">AC10+AO10+BA10+BM10+BY10+CK10+CW10</f>
        <v>0</v>
      </c>
      <c r="R10" s="27" t="n">
        <f aca="false">AD10+AP10+BB10+BN10+BZ10+CL10+CX10</f>
        <v>0</v>
      </c>
      <c r="S10" s="28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9"/>
      <c r="AE10" s="28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9"/>
      <c r="AQ10" s="28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9"/>
      <c r="BC10" s="28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9"/>
      <c r="BO10" s="28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9"/>
      <c r="CA10" s="28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9"/>
      <c r="CM10" s="28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9"/>
    </row>
    <row r="11" customFormat="false" ht="45" hidden="false" customHeight="true" outlineLevel="0" collapsed="false">
      <c r="B11" s="24"/>
      <c r="C11" s="25" t="s">
        <v>16</v>
      </c>
      <c r="D11" s="35" t="s">
        <v>17</v>
      </c>
      <c r="E11" s="35" t="s">
        <v>18</v>
      </c>
      <c r="F11" s="26" t="s">
        <v>19</v>
      </c>
      <c r="G11" s="27" t="n">
        <f aca="false">S11+AE11+AQ11+BC11+BO11+CA11+CM11</f>
        <v>304.755</v>
      </c>
      <c r="H11" s="33" t="n">
        <f aca="false">T11+AF11+AR11+BD11+BP11+CB11+CN11</f>
        <v>188.679</v>
      </c>
      <c r="I11" s="33" t="n">
        <f aca="false">U11+AG11+AS11+BE11+BQ11+CC11+CO11</f>
        <v>473.511</v>
      </c>
      <c r="J11" s="33" t="n">
        <f aca="false">V11+AH11+AT11+BF11+BR11+CD11+CP11</f>
        <v>520.334</v>
      </c>
      <c r="K11" s="33" t="n">
        <f aca="false">W11+AI11+AU11+BG11+BS11+CE11+CQ11</f>
        <v>474.15</v>
      </c>
      <c r="L11" s="33" t="n">
        <f aca="false">X11+AJ11+AV11+BH11+BT11+CF11+CR11</f>
        <v>224.357</v>
      </c>
      <c r="M11" s="33" t="n">
        <f aca="false">Y11+AK11+AW11+BI11+BU11+CG11+CS11</f>
        <v>0</v>
      </c>
      <c r="N11" s="33" t="n">
        <f aca="false">Z11+AL11+AX11+BJ11+BV11+CH11+CT11</f>
        <v>0</v>
      </c>
      <c r="O11" s="33" t="n">
        <f aca="false">AA11+AM11+AY11+BK11+BW11+CI11+CU11</f>
        <v>0</v>
      </c>
      <c r="P11" s="33" t="n">
        <f aca="false">AB11+AN11+AZ11+BL11+BX11+CJ11+CV11</f>
        <v>0</v>
      </c>
      <c r="Q11" s="33" t="n">
        <f aca="false">AC11+AO11+BA11+BM11+BY11+CK11+CW11</f>
        <v>0</v>
      </c>
      <c r="R11" s="34" t="n">
        <f aca="false">AD11+AP11+BB11+BN11+BZ11+CL11+CX11</f>
        <v>0</v>
      </c>
      <c r="S11" s="47" t="n">
        <v>209.155</v>
      </c>
      <c r="T11" s="48" t="n">
        <v>108.079</v>
      </c>
      <c r="U11" s="48" t="n">
        <v>400.911</v>
      </c>
      <c r="V11" s="48" t="n">
        <v>429.734</v>
      </c>
      <c r="W11" s="48" t="n">
        <v>373.55</v>
      </c>
      <c r="X11" s="48" t="n">
        <v>143.757</v>
      </c>
      <c r="Y11" s="48"/>
      <c r="Z11" s="48"/>
      <c r="AA11" s="48"/>
      <c r="AB11" s="48"/>
      <c r="AC11" s="48"/>
      <c r="AD11" s="48"/>
      <c r="AE11" s="28" t="n">
        <v>27</v>
      </c>
      <c r="AF11" s="24" t="n">
        <v>18</v>
      </c>
      <c r="AG11" s="24" t="n">
        <v>15</v>
      </c>
      <c r="AH11" s="24" t="n">
        <v>20</v>
      </c>
      <c r="AI11" s="24" t="n">
        <v>25</v>
      </c>
      <c r="AJ11" s="24" t="n">
        <v>22</v>
      </c>
      <c r="AK11" s="24"/>
      <c r="AL11" s="24"/>
      <c r="AM11" s="24"/>
      <c r="AN11" s="24"/>
      <c r="AO11" s="24"/>
      <c r="AP11" s="29"/>
      <c r="AQ11" s="28" t="n">
        <v>16</v>
      </c>
      <c r="AR11" s="24" t="n">
        <v>15</v>
      </c>
      <c r="AS11" s="24" t="n">
        <v>18</v>
      </c>
      <c r="AT11" s="24" t="n">
        <v>14</v>
      </c>
      <c r="AU11" s="24" t="n">
        <v>21</v>
      </c>
      <c r="AV11" s="24" t="n">
        <v>12</v>
      </c>
      <c r="AW11" s="24"/>
      <c r="AX11" s="24"/>
      <c r="AY11" s="24"/>
      <c r="AZ11" s="24"/>
      <c r="BA11" s="24"/>
      <c r="BB11" s="29"/>
      <c r="BC11" s="28" t="n">
        <v>42</v>
      </c>
      <c r="BD11" s="24" t="n">
        <v>36</v>
      </c>
      <c r="BE11" s="24" t="n">
        <v>30</v>
      </c>
      <c r="BF11" s="24" t="n">
        <v>45</v>
      </c>
      <c r="BG11" s="24" t="n">
        <v>44</v>
      </c>
      <c r="BH11" s="24" t="n">
        <v>37</v>
      </c>
      <c r="BI11" s="24"/>
      <c r="BJ11" s="24"/>
      <c r="BK11" s="24"/>
      <c r="BL11" s="24"/>
      <c r="BM11" s="24"/>
      <c r="BN11" s="29"/>
      <c r="BO11" s="28" t="n">
        <v>3.3</v>
      </c>
      <c r="BP11" s="24" t="n">
        <v>3.3</v>
      </c>
      <c r="BQ11" s="24" t="n">
        <v>3.3</v>
      </c>
      <c r="BR11" s="24" t="n">
        <v>3.3</v>
      </c>
      <c r="BS11" s="24" t="n">
        <v>3.3</v>
      </c>
      <c r="BT11" s="24" t="n">
        <v>3.3</v>
      </c>
      <c r="BU11" s="24"/>
      <c r="BV11" s="24"/>
      <c r="BW11" s="24"/>
      <c r="BX11" s="24"/>
      <c r="BY11" s="24"/>
      <c r="BZ11" s="29"/>
      <c r="CA11" s="28" t="n">
        <v>4</v>
      </c>
      <c r="CB11" s="24" t="n">
        <v>5</v>
      </c>
      <c r="CC11" s="24" t="n">
        <v>3</v>
      </c>
      <c r="CD11" s="24" t="n">
        <v>5</v>
      </c>
      <c r="CE11" s="24" t="n">
        <v>4</v>
      </c>
      <c r="CF11" s="24" t="n">
        <v>3</v>
      </c>
      <c r="CG11" s="24"/>
      <c r="CH11" s="24"/>
      <c r="CI11" s="24"/>
      <c r="CJ11" s="24"/>
      <c r="CK11" s="24"/>
      <c r="CL11" s="29"/>
      <c r="CM11" s="28" t="n">
        <v>3.3</v>
      </c>
      <c r="CN11" s="24" t="n">
        <v>3.3</v>
      </c>
      <c r="CO11" s="24" t="n">
        <v>3.3</v>
      </c>
      <c r="CP11" s="24" t="n">
        <v>3.3</v>
      </c>
      <c r="CQ11" s="24" t="n">
        <v>3.3</v>
      </c>
      <c r="CR11" s="24" t="n">
        <v>3.3</v>
      </c>
      <c r="CS11" s="24"/>
      <c r="CT11" s="24"/>
      <c r="CU11" s="24"/>
      <c r="CV11" s="24"/>
      <c r="CW11" s="24"/>
      <c r="CX11" s="29"/>
    </row>
    <row r="12" customFormat="false" ht="45" hidden="false" customHeight="true" outlineLevel="0" collapsed="false">
      <c r="B12" s="24"/>
      <c r="C12" s="25" t="s">
        <v>20</v>
      </c>
      <c r="D12" s="35"/>
      <c r="E12" s="35" t="s">
        <v>18</v>
      </c>
      <c r="F12" s="26" t="s">
        <v>19</v>
      </c>
      <c r="G12" s="27" t="n">
        <f aca="false">S12+AE12+AQ12+BC12+BO12+CA12+CM12</f>
        <v>16.5</v>
      </c>
      <c r="H12" s="33" t="n">
        <f aca="false">T12+AF12+AR12+BD12+BP12+CB12+CN12</f>
        <v>12.5</v>
      </c>
      <c r="I12" s="33" t="n">
        <f aca="false">U12+AG12+AS12+BE12+BQ12+CC12+CO12</f>
        <v>17</v>
      </c>
      <c r="J12" s="33" t="n">
        <f aca="false">V12+AH12+AT12+BF12+BR12+CD12+CP12</f>
        <v>20.5</v>
      </c>
      <c r="K12" s="33" t="n">
        <f aca="false">W12+AI12+AU12+BG12+BS12+CE12+CQ12</f>
        <v>20.5</v>
      </c>
      <c r="L12" s="33" t="n">
        <f aca="false">X12+AJ12+AV12+BH12+BT12+CF12+CR12</f>
        <v>12</v>
      </c>
      <c r="M12" s="33" t="n">
        <f aca="false">Y12+AK12+AW12+BI12+BU12+CG12+CS12</f>
        <v>0</v>
      </c>
      <c r="N12" s="33" t="n">
        <f aca="false">Z12+AL12+AX12+BJ12+BV12+CH12+CT12</f>
        <v>0</v>
      </c>
      <c r="O12" s="33" t="n">
        <f aca="false">AA12+AM12+AY12+BK12+BW12+CI12+CU12</f>
        <v>0</v>
      </c>
      <c r="P12" s="33" t="n">
        <f aca="false">AB12+AN12+AZ12+BL12+BX12+CJ12+CV12</f>
        <v>0</v>
      </c>
      <c r="Q12" s="33" t="n">
        <f aca="false">AC12+AO12+BA12+BM12+BY12+CK12+CW12</f>
        <v>0</v>
      </c>
      <c r="R12" s="34" t="n">
        <f aca="false">AD12+AP12+BB12+BN12+BZ12+CL12+CX12</f>
        <v>0</v>
      </c>
      <c r="S12" s="49" t="n">
        <v>5.5</v>
      </c>
      <c r="T12" s="50" t="n">
        <v>2.5</v>
      </c>
      <c r="U12" s="50" t="n">
        <v>8</v>
      </c>
      <c r="V12" s="50" t="n">
        <v>8.5</v>
      </c>
      <c r="W12" s="50" t="n">
        <v>7.5</v>
      </c>
      <c r="X12" s="50" t="n">
        <v>3</v>
      </c>
      <c r="Y12" s="50"/>
      <c r="Z12" s="50"/>
      <c r="AA12" s="50"/>
      <c r="AB12" s="50"/>
      <c r="AC12" s="50"/>
      <c r="AD12" s="50"/>
      <c r="AE12" s="28" t="n">
        <v>2</v>
      </c>
      <c r="AF12" s="24" t="n">
        <v>1</v>
      </c>
      <c r="AG12" s="24" t="n">
        <v>1</v>
      </c>
      <c r="AH12" s="24" t="n">
        <v>2</v>
      </c>
      <c r="AI12" s="24" t="n">
        <v>2</v>
      </c>
      <c r="AJ12" s="24" t="n">
        <v>2</v>
      </c>
      <c r="AK12" s="24"/>
      <c r="AL12" s="24"/>
      <c r="AM12" s="24"/>
      <c r="AN12" s="24"/>
      <c r="AO12" s="24"/>
      <c r="AP12" s="29"/>
      <c r="AQ12" s="28" t="n">
        <v>2</v>
      </c>
      <c r="AR12" s="24" t="n">
        <v>2</v>
      </c>
      <c r="AS12" s="24" t="n">
        <v>2</v>
      </c>
      <c r="AT12" s="24" t="n">
        <v>1</v>
      </c>
      <c r="AU12" s="24" t="n">
        <v>3</v>
      </c>
      <c r="AV12" s="24" t="n">
        <v>2</v>
      </c>
      <c r="AW12" s="24"/>
      <c r="AX12" s="24"/>
      <c r="AY12" s="24"/>
      <c r="AZ12" s="24"/>
      <c r="BA12" s="24"/>
      <c r="BB12" s="29"/>
      <c r="BC12" s="28" t="n">
        <v>4</v>
      </c>
      <c r="BD12" s="24" t="n">
        <v>3</v>
      </c>
      <c r="BE12" s="24" t="n">
        <v>3</v>
      </c>
      <c r="BF12" s="24" t="n">
        <v>5</v>
      </c>
      <c r="BG12" s="24" t="n">
        <v>5</v>
      </c>
      <c r="BH12" s="24" t="n">
        <v>4</v>
      </c>
      <c r="BI12" s="24"/>
      <c r="BJ12" s="24"/>
      <c r="BK12" s="24"/>
      <c r="BL12" s="24"/>
      <c r="BM12" s="24"/>
      <c r="BN12" s="29"/>
      <c r="BO12" s="28" t="n">
        <v>1</v>
      </c>
      <c r="BP12" s="24" t="n">
        <v>1</v>
      </c>
      <c r="BQ12" s="24" t="n">
        <v>1</v>
      </c>
      <c r="BR12" s="24" t="n">
        <v>1</v>
      </c>
      <c r="BS12" s="24" t="n">
        <v>1</v>
      </c>
      <c r="BT12" s="24"/>
      <c r="BU12" s="24"/>
      <c r="BV12" s="24"/>
      <c r="BW12" s="24"/>
      <c r="BX12" s="24"/>
      <c r="BY12" s="24"/>
      <c r="BZ12" s="29"/>
      <c r="CA12" s="28" t="n">
        <v>1</v>
      </c>
      <c r="CB12" s="24" t="n">
        <v>2</v>
      </c>
      <c r="CC12" s="24" t="n">
        <v>1</v>
      </c>
      <c r="CD12" s="24" t="n">
        <v>2</v>
      </c>
      <c r="CE12" s="24" t="n">
        <v>1</v>
      </c>
      <c r="CF12" s="24" t="n">
        <v>1</v>
      </c>
      <c r="CG12" s="24"/>
      <c r="CH12" s="24"/>
      <c r="CI12" s="24"/>
      <c r="CJ12" s="24"/>
      <c r="CK12" s="24"/>
      <c r="CL12" s="29"/>
      <c r="CM12" s="28" t="n">
        <v>1</v>
      </c>
      <c r="CN12" s="24" t="n">
        <v>1</v>
      </c>
      <c r="CO12" s="24" t="n">
        <v>1</v>
      </c>
      <c r="CP12" s="24" t="n">
        <v>1</v>
      </c>
      <c r="CQ12" s="24" t="n">
        <v>1</v>
      </c>
      <c r="CR12" s="24" t="n">
        <v>0</v>
      </c>
      <c r="CS12" s="24"/>
      <c r="CT12" s="24"/>
      <c r="CU12" s="24"/>
      <c r="CV12" s="24"/>
      <c r="CW12" s="24"/>
      <c r="CX12" s="29"/>
    </row>
    <row r="13" customFormat="false" ht="45" hidden="false" customHeight="true" outlineLevel="0" collapsed="false">
      <c r="B13" s="24"/>
      <c r="C13" s="25" t="s">
        <v>21</v>
      </c>
      <c r="D13" s="35" t="s">
        <v>22</v>
      </c>
      <c r="E13" s="35" t="s">
        <v>23</v>
      </c>
      <c r="F13" s="26" t="s">
        <v>19</v>
      </c>
      <c r="G13" s="27" t="n">
        <f aca="false">S13+AE13+AQ13+BC13+BO13+CA13+CM13</f>
        <v>304.055</v>
      </c>
      <c r="H13" s="33" t="n">
        <f aca="false">T13+AF13+AR13+BD13+BP13+CB13+CN13</f>
        <v>186.979</v>
      </c>
      <c r="I13" s="33" t="n">
        <f aca="false">U13+AG13+AS13+BE13+BQ13+CC13+CO13</f>
        <v>473.811</v>
      </c>
      <c r="J13" s="33" t="n">
        <f aca="false">V13+AH13+AT13+BF13+BR13+CD13+CP13</f>
        <v>518.634</v>
      </c>
      <c r="K13" s="33" t="n">
        <f aca="false">W13+AI13+AU13+BG13+BS13+CE13+CQ13</f>
        <v>473.45</v>
      </c>
      <c r="L13" s="33" t="n">
        <f aca="false">X13+AJ13+AV13+BH13+BT13+CF13+CR13</f>
        <v>224.657</v>
      </c>
      <c r="M13" s="33" t="n">
        <f aca="false">Y13+AK13+AW13+BI13+BU13+CG13+CS13</f>
        <v>0</v>
      </c>
      <c r="N13" s="33" t="n">
        <f aca="false">Z13+AL13+AX13+BJ13+BV13+CH13+CT13</f>
        <v>0</v>
      </c>
      <c r="O13" s="33" t="n">
        <f aca="false">AA13+AM13+AY13+BK13+BW13+CI13+CU13</f>
        <v>0</v>
      </c>
      <c r="P13" s="33" t="n">
        <f aca="false">AB13+AN13+AZ13+BL13+BX13+CJ13+CV13</f>
        <v>0</v>
      </c>
      <c r="Q13" s="33" t="n">
        <f aca="false">AC13+AO13+BA13+BM13+BY13+CK13+CW13</f>
        <v>0</v>
      </c>
      <c r="R13" s="34" t="n">
        <f aca="false">AD13+AP13+BB13+BN13+BZ13+CL13+CX13</f>
        <v>0</v>
      </c>
      <c r="S13" s="49" t="n">
        <v>209.155</v>
      </c>
      <c r="T13" s="50" t="n">
        <v>108.079</v>
      </c>
      <c r="U13" s="50" t="n">
        <v>400.911</v>
      </c>
      <c r="V13" s="50" t="n">
        <v>429.734</v>
      </c>
      <c r="W13" s="50" t="n">
        <v>373.55</v>
      </c>
      <c r="X13" s="50" t="n">
        <v>143.757</v>
      </c>
      <c r="Y13" s="50"/>
      <c r="Z13" s="50"/>
      <c r="AA13" s="50"/>
      <c r="AB13" s="50"/>
      <c r="AC13" s="50"/>
      <c r="AD13" s="50"/>
      <c r="AE13" s="28" t="n">
        <v>27</v>
      </c>
      <c r="AF13" s="24" t="n">
        <v>18</v>
      </c>
      <c r="AG13" s="24" t="n">
        <v>15</v>
      </c>
      <c r="AH13" s="24" t="n">
        <v>20</v>
      </c>
      <c r="AI13" s="24" t="n">
        <v>25</v>
      </c>
      <c r="AJ13" s="24" t="n">
        <v>22</v>
      </c>
      <c r="AK13" s="24"/>
      <c r="AL13" s="24"/>
      <c r="AM13" s="24"/>
      <c r="AN13" s="24"/>
      <c r="AO13" s="24"/>
      <c r="AP13" s="29"/>
      <c r="AQ13" s="28" t="n">
        <v>16</v>
      </c>
      <c r="AR13" s="24" t="n">
        <v>15</v>
      </c>
      <c r="AS13" s="24" t="n">
        <v>18</v>
      </c>
      <c r="AT13" s="24" t="n">
        <v>14</v>
      </c>
      <c r="AU13" s="24" t="n">
        <v>21</v>
      </c>
      <c r="AV13" s="24" t="n">
        <v>12</v>
      </c>
      <c r="AW13" s="24"/>
      <c r="AX13" s="24"/>
      <c r="AY13" s="24"/>
      <c r="AZ13" s="24"/>
      <c r="BA13" s="24"/>
      <c r="BB13" s="29"/>
      <c r="BC13" s="28" t="n">
        <v>42</v>
      </c>
      <c r="BD13" s="24" t="n">
        <v>36</v>
      </c>
      <c r="BE13" s="24" t="n">
        <v>30</v>
      </c>
      <c r="BF13" s="24" t="n">
        <v>45</v>
      </c>
      <c r="BG13" s="24" t="n">
        <v>44</v>
      </c>
      <c r="BH13" s="24" t="n">
        <v>37</v>
      </c>
      <c r="BI13" s="24"/>
      <c r="BJ13" s="24"/>
      <c r="BK13" s="24"/>
      <c r="BL13" s="24"/>
      <c r="BM13" s="24"/>
      <c r="BN13" s="29"/>
      <c r="BO13" s="28" t="n">
        <v>3.3</v>
      </c>
      <c r="BP13" s="24" t="n">
        <v>3.3</v>
      </c>
      <c r="BQ13" s="24" t="n">
        <v>3.3</v>
      </c>
      <c r="BR13" s="24" t="n">
        <v>3.3</v>
      </c>
      <c r="BS13" s="24" t="n">
        <v>3.3</v>
      </c>
      <c r="BT13" s="24" t="n">
        <v>3.3</v>
      </c>
      <c r="BU13" s="24"/>
      <c r="BV13" s="24"/>
      <c r="BW13" s="24"/>
      <c r="BX13" s="24"/>
      <c r="BY13" s="24"/>
      <c r="BZ13" s="29"/>
      <c r="CA13" s="28" t="n">
        <v>3.3</v>
      </c>
      <c r="CB13" s="24" t="n">
        <v>3.3</v>
      </c>
      <c r="CC13" s="24" t="n">
        <v>3.3</v>
      </c>
      <c r="CD13" s="24" t="n">
        <v>3.3</v>
      </c>
      <c r="CE13" s="24" t="n">
        <v>3.3</v>
      </c>
      <c r="CF13" s="24" t="n">
        <v>3.3</v>
      </c>
      <c r="CG13" s="24"/>
      <c r="CH13" s="24"/>
      <c r="CI13" s="24"/>
      <c r="CJ13" s="24"/>
      <c r="CK13" s="24"/>
      <c r="CL13" s="29"/>
      <c r="CM13" s="28" t="n">
        <v>3.3</v>
      </c>
      <c r="CN13" s="24" t="n">
        <v>3.3</v>
      </c>
      <c r="CO13" s="24" t="n">
        <v>3.3</v>
      </c>
      <c r="CP13" s="24" t="n">
        <v>3.3</v>
      </c>
      <c r="CQ13" s="24" t="n">
        <v>3.3</v>
      </c>
      <c r="CR13" s="24" t="n">
        <v>3.3</v>
      </c>
      <c r="CS13" s="24"/>
      <c r="CT13" s="24"/>
      <c r="CU13" s="24"/>
      <c r="CV13" s="24"/>
      <c r="CW13" s="24"/>
      <c r="CX13" s="29"/>
    </row>
    <row r="14" customFormat="false" ht="45" hidden="false" customHeight="true" outlineLevel="0" collapsed="false">
      <c r="B14" s="24"/>
      <c r="C14" s="25" t="s">
        <v>24</v>
      </c>
      <c r="D14" s="35"/>
      <c r="E14" s="35" t="s">
        <v>23</v>
      </c>
      <c r="F14" s="26" t="s">
        <v>19</v>
      </c>
      <c r="G14" s="27" t="n">
        <f aca="false">S14+AE14+AQ14+BC14+BO14+CA14+CM14</f>
        <v>15.5</v>
      </c>
      <c r="H14" s="33" t="n">
        <f aca="false">T14+AF14+AR14+BD14+BP14+CB14+CN14</f>
        <v>10.5</v>
      </c>
      <c r="I14" s="33" t="n">
        <f aca="false">U14+AG14+AS14+BE14+BQ14+CC14+CO14</f>
        <v>17</v>
      </c>
      <c r="J14" s="33" t="n">
        <f aca="false">V14+AH14+AT14+BF14+BR14+CD14+CP14</f>
        <v>19.5</v>
      </c>
      <c r="K14" s="33" t="n">
        <f aca="false">W14+AI14+AU14+BG14+BS14+CE14+CQ14</f>
        <v>19.5</v>
      </c>
      <c r="L14" s="33" t="n">
        <f aca="false">X14+AJ14+AV14+BH14+BT14+CF14+CR14</f>
        <v>11</v>
      </c>
      <c r="M14" s="33" t="n">
        <f aca="false">Y14+AK14+AW14+BI14+BU14+CG14+CS14</f>
        <v>0</v>
      </c>
      <c r="N14" s="33" t="n">
        <f aca="false">Z14+AL14+AX14+BJ14+BV14+CH14+CT14</f>
        <v>0</v>
      </c>
      <c r="O14" s="33" t="n">
        <f aca="false">AA14+AM14+AY14+BK14+BW14+CI14+CU14</f>
        <v>0</v>
      </c>
      <c r="P14" s="33" t="n">
        <f aca="false">AB14+AN14+AZ14+BL14+BX14+CJ14+CV14</f>
        <v>0</v>
      </c>
      <c r="Q14" s="33" t="n">
        <f aca="false">AC14+AO14+BA14+BM14+BY14+CK14+CW14</f>
        <v>0</v>
      </c>
      <c r="R14" s="34" t="n">
        <f aca="false">AD14+AP14+BB14+BN14+BZ14+CL14+CX14</f>
        <v>0</v>
      </c>
      <c r="S14" s="49" t="n">
        <v>5.5</v>
      </c>
      <c r="T14" s="50" t="n">
        <v>2.5</v>
      </c>
      <c r="U14" s="50" t="n">
        <v>8</v>
      </c>
      <c r="V14" s="50" t="n">
        <v>8.5</v>
      </c>
      <c r="W14" s="50" t="n">
        <v>7.5</v>
      </c>
      <c r="X14" s="50" t="n">
        <v>3</v>
      </c>
      <c r="Y14" s="50"/>
      <c r="Z14" s="50"/>
      <c r="AA14" s="50"/>
      <c r="AB14" s="50"/>
      <c r="AC14" s="50"/>
      <c r="AD14" s="50"/>
      <c r="AE14" s="28" t="n">
        <v>2</v>
      </c>
      <c r="AF14" s="24" t="n">
        <v>1</v>
      </c>
      <c r="AG14" s="24" t="n">
        <v>1</v>
      </c>
      <c r="AH14" s="24" t="n">
        <v>2</v>
      </c>
      <c r="AI14" s="24" t="n">
        <v>2</v>
      </c>
      <c r="AJ14" s="24" t="n">
        <v>2</v>
      </c>
      <c r="AK14" s="24"/>
      <c r="AL14" s="24"/>
      <c r="AM14" s="24"/>
      <c r="AN14" s="24"/>
      <c r="AO14" s="24"/>
      <c r="AP14" s="29"/>
      <c r="AQ14" s="28" t="n">
        <v>1</v>
      </c>
      <c r="AR14" s="24" t="n">
        <v>1</v>
      </c>
      <c r="AS14" s="24" t="n">
        <v>2</v>
      </c>
      <c r="AT14" s="24" t="n">
        <v>1</v>
      </c>
      <c r="AU14" s="24" t="n">
        <v>2</v>
      </c>
      <c r="AV14" s="24" t="n">
        <v>2</v>
      </c>
      <c r="AW14" s="24"/>
      <c r="AX14" s="24"/>
      <c r="AY14" s="24"/>
      <c r="AZ14" s="24"/>
      <c r="BA14" s="24"/>
      <c r="BB14" s="29"/>
      <c r="BC14" s="28" t="n">
        <v>4</v>
      </c>
      <c r="BD14" s="24" t="n">
        <v>3</v>
      </c>
      <c r="BE14" s="24" t="n">
        <v>3</v>
      </c>
      <c r="BF14" s="24" t="n">
        <v>5</v>
      </c>
      <c r="BG14" s="24" t="n">
        <v>5</v>
      </c>
      <c r="BH14" s="24" t="n">
        <v>4</v>
      </c>
      <c r="BI14" s="24"/>
      <c r="BJ14" s="24"/>
      <c r="BK14" s="24"/>
      <c r="BL14" s="24"/>
      <c r="BM14" s="24"/>
      <c r="BN14" s="29"/>
      <c r="BO14" s="28" t="n">
        <v>1</v>
      </c>
      <c r="BP14" s="24" t="n">
        <v>1</v>
      </c>
      <c r="BQ14" s="24" t="n">
        <v>1</v>
      </c>
      <c r="BR14" s="24" t="n">
        <v>1</v>
      </c>
      <c r="BS14" s="24" t="n">
        <v>1</v>
      </c>
      <c r="BT14" s="24"/>
      <c r="BU14" s="24"/>
      <c r="BV14" s="24"/>
      <c r="BW14" s="24"/>
      <c r="BX14" s="24"/>
      <c r="BY14" s="24"/>
      <c r="BZ14" s="29"/>
      <c r="CA14" s="28" t="n">
        <v>1</v>
      </c>
      <c r="CB14" s="24" t="n">
        <v>1</v>
      </c>
      <c r="CC14" s="24" t="n">
        <v>1</v>
      </c>
      <c r="CD14" s="24" t="n">
        <v>1</v>
      </c>
      <c r="CE14" s="24" t="n">
        <v>1</v>
      </c>
      <c r="CF14" s="24" t="n">
        <v>0</v>
      </c>
      <c r="CG14" s="24"/>
      <c r="CH14" s="24"/>
      <c r="CI14" s="24"/>
      <c r="CJ14" s="24"/>
      <c r="CK14" s="24"/>
      <c r="CL14" s="29"/>
      <c r="CM14" s="28" t="n">
        <v>1</v>
      </c>
      <c r="CN14" s="24" t="n">
        <v>1</v>
      </c>
      <c r="CO14" s="24" t="n">
        <v>1</v>
      </c>
      <c r="CP14" s="24" t="n">
        <v>1</v>
      </c>
      <c r="CQ14" s="24" t="n">
        <v>1</v>
      </c>
      <c r="CR14" s="24" t="n">
        <v>0</v>
      </c>
      <c r="CS14" s="24"/>
      <c r="CT14" s="24"/>
      <c r="CU14" s="24"/>
      <c r="CV14" s="24"/>
      <c r="CW14" s="24"/>
      <c r="CX14" s="29"/>
    </row>
    <row r="15" customFormat="false" ht="45" hidden="false" customHeight="true" outlineLevel="0" collapsed="false">
      <c r="B15" s="24"/>
      <c r="C15" s="25" t="s">
        <v>25</v>
      </c>
      <c r="D15" s="35" t="s">
        <v>26</v>
      </c>
      <c r="E15" s="35" t="s">
        <v>27</v>
      </c>
      <c r="F15" s="26" t="s">
        <v>19</v>
      </c>
      <c r="G15" s="27" t="n">
        <f aca="false">S15+AE15+AQ15+BC15+BO15+CA15+CM15</f>
        <v>3433.175</v>
      </c>
      <c r="H15" s="33" t="n">
        <f aca="false">T15+AF15+AR15+BD15+BP15+CB15+CN15</f>
        <v>4548.195</v>
      </c>
      <c r="I15" s="33" t="n">
        <f aca="false">U15+AG15+AS15+BE15+BQ15+CC15+CO15</f>
        <v>3540.521</v>
      </c>
      <c r="J15" s="33" t="n">
        <f aca="false">V15+AH15+AT15+BF15+BR15+CD15+CP15</f>
        <v>3737.215</v>
      </c>
      <c r="K15" s="33" t="n">
        <f aca="false">W15+AI15+AU15+BG15+BS15+CE15+CQ15</f>
        <v>3744.548</v>
      </c>
      <c r="L15" s="33" t="n">
        <f aca="false">X15+AJ15+AV15+BH15+BT15+CF15+CR15</f>
        <v>3704.143</v>
      </c>
      <c r="M15" s="33" t="n">
        <f aca="false">Y15+AK15+AW15+BI15+BU15+CG15+CS15</f>
        <v>0</v>
      </c>
      <c r="N15" s="33" t="n">
        <f aca="false">Z15+AL15+AX15+BJ15+BV15+CH15+CT15</f>
        <v>0</v>
      </c>
      <c r="O15" s="33" t="n">
        <f aca="false">AA15+AM15+AY15+BK15+BW15+CI15+CU15</f>
        <v>0</v>
      </c>
      <c r="P15" s="33" t="n">
        <f aca="false">AB15+AN15+AZ15+BL15+BX15+CJ15+CV15</f>
        <v>0</v>
      </c>
      <c r="Q15" s="33" t="n">
        <f aca="false">AC15+AO15+BA15+BM15+BY15+CK15+CW15</f>
        <v>0</v>
      </c>
      <c r="R15" s="34" t="n">
        <f aca="false">AD15+AP15+BB15+BN15+BZ15+CL15+CX15</f>
        <v>0</v>
      </c>
      <c r="S15" s="47" t="n">
        <v>2.854</v>
      </c>
      <c r="T15" s="47" t="n">
        <v>4.78</v>
      </c>
      <c r="U15" s="48" t="n">
        <v>2.989</v>
      </c>
      <c r="V15" s="48" t="n">
        <v>1.612</v>
      </c>
      <c r="W15" s="48" t="n">
        <v>2.2</v>
      </c>
      <c r="X15" s="48" t="n">
        <v>3.6</v>
      </c>
      <c r="Y15" s="48"/>
      <c r="Z15" s="48"/>
      <c r="AA15" s="48"/>
      <c r="AB15" s="48"/>
      <c r="AC15" s="48"/>
      <c r="AD15" s="48"/>
      <c r="AE15" s="28" t="n">
        <v>678</v>
      </c>
      <c r="AF15" s="24" t="n">
        <v>621</v>
      </c>
      <c r="AG15" s="24" t="n">
        <v>615</v>
      </c>
      <c r="AH15" s="24" t="n">
        <v>593</v>
      </c>
      <c r="AI15" s="24" t="n">
        <v>670</v>
      </c>
      <c r="AJ15" s="24" t="n">
        <v>598</v>
      </c>
      <c r="AK15" s="24"/>
      <c r="AL15" s="24"/>
      <c r="AM15" s="24"/>
      <c r="AN15" s="24"/>
      <c r="AO15" s="24"/>
      <c r="AP15" s="29"/>
      <c r="AQ15" s="28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/>
      <c r="AX15" s="24"/>
      <c r="AY15" s="24"/>
      <c r="AZ15" s="24"/>
      <c r="BA15" s="24"/>
      <c r="BB15" s="29"/>
      <c r="BC15" s="28" t="n">
        <v>2.321</v>
      </c>
      <c r="BD15" s="24" t="n">
        <v>2.415</v>
      </c>
      <c r="BE15" s="24" t="n">
        <v>2.532</v>
      </c>
      <c r="BF15" s="24" t="n">
        <v>2.603</v>
      </c>
      <c r="BG15" s="24" t="n">
        <v>2.348</v>
      </c>
      <c r="BH15" s="24" t="n">
        <v>2.543</v>
      </c>
      <c r="BI15" s="24"/>
      <c r="BJ15" s="24"/>
      <c r="BK15" s="24"/>
      <c r="BL15" s="24"/>
      <c r="BM15" s="24"/>
      <c r="BN15" s="29"/>
      <c r="BO15" s="28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/>
      <c r="BV15" s="24"/>
      <c r="BW15" s="24"/>
      <c r="BX15" s="24"/>
      <c r="BY15" s="24"/>
      <c r="BZ15" s="29"/>
      <c r="CA15" s="30" t="n">
        <v>2500</v>
      </c>
      <c r="CB15" s="31" t="n">
        <v>3600</v>
      </c>
      <c r="CC15" s="31" t="n">
        <v>2700</v>
      </c>
      <c r="CD15" s="31" t="n">
        <v>2900</v>
      </c>
      <c r="CE15" s="31" t="n">
        <v>2800</v>
      </c>
      <c r="CF15" s="31" t="n">
        <v>2900</v>
      </c>
      <c r="CG15" s="31"/>
      <c r="CH15" s="31"/>
      <c r="CI15" s="31"/>
      <c r="CJ15" s="31"/>
      <c r="CK15" s="31"/>
      <c r="CL15" s="32"/>
      <c r="CM15" s="28" t="n">
        <v>250</v>
      </c>
      <c r="CN15" s="24" t="n">
        <v>320</v>
      </c>
      <c r="CO15" s="24" t="n">
        <v>220</v>
      </c>
      <c r="CP15" s="24" t="n">
        <v>240</v>
      </c>
      <c r="CQ15" s="24" t="n">
        <v>270</v>
      </c>
      <c r="CR15" s="24" t="n">
        <v>200</v>
      </c>
      <c r="CS15" s="24"/>
      <c r="CT15" s="24"/>
      <c r="CU15" s="24"/>
      <c r="CV15" s="24"/>
      <c r="CW15" s="24"/>
      <c r="CX15" s="29"/>
    </row>
    <row r="16" customFormat="false" ht="45" hidden="false" customHeight="true" outlineLevel="0" collapsed="false">
      <c r="B16" s="24"/>
      <c r="C16" s="25" t="s">
        <v>28</v>
      </c>
      <c r="D16" s="35"/>
      <c r="E16" s="35" t="s">
        <v>29</v>
      </c>
      <c r="F16" s="26" t="s">
        <v>19</v>
      </c>
      <c r="G16" s="27" t="n">
        <f aca="false">S16+AE16+AQ16+BC16+BO16+CA16+CM16</f>
        <v>14931.991</v>
      </c>
      <c r="H16" s="33" t="n">
        <f aca="false">T16+AF16+AR16+BD16+BP16+CB16+CN16</f>
        <v>18010.582</v>
      </c>
      <c r="I16" s="33" t="n">
        <f aca="false">U16+AG16+AS16+BE16+BQ16+CC16+CO16</f>
        <v>16518.343</v>
      </c>
      <c r="J16" s="33" t="n">
        <f aca="false">V16+AH16+AT16+BF16+BR16+CD16+CP16</f>
        <v>17318.303</v>
      </c>
      <c r="K16" s="33" t="n">
        <f aca="false">W16+AI16+AU16+BG16+BS16+CE16+CQ16</f>
        <v>18555.521</v>
      </c>
      <c r="L16" s="33" t="n">
        <f aca="false">X16+AJ16+AV16+BH16+BT16+CF16+CR16</f>
        <v>17192.806</v>
      </c>
      <c r="M16" s="33" t="n">
        <f aca="false">Y16+AK16+AW16+BI16+BU16+CG16+CS16</f>
        <v>0</v>
      </c>
      <c r="N16" s="33" t="n">
        <f aca="false">Z16+AL16+AX16+BJ16+BV16+CH16+CT16</f>
        <v>0</v>
      </c>
      <c r="O16" s="33" t="n">
        <f aca="false">AA16+AM16+AY16+BK16+BW16+CI16+CU16</f>
        <v>0</v>
      </c>
      <c r="P16" s="33" t="n">
        <f aca="false">AB16+AN16+AZ16+BL16+BX16+CJ16+CV16</f>
        <v>0</v>
      </c>
      <c r="Q16" s="33" t="n">
        <f aca="false">AC16+AO16+BA16+BM16+BY16+CK16+CW16</f>
        <v>0</v>
      </c>
      <c r="R16" s="34" t="n">
        <f aca="false">AD16+AP16+BB16+BN16+BZ16+CL16+CX16</f>
        <v>0</v>
      </c>
      <c r="S16" s="49" t="n">
        <v>17.59</v>
      </c>
      <c r="T16" s="50" t="n">
        <v>19.184</v>
      </c>
      <c r="U16" s="51" t="n">
        <v>10.931</v>
      </c>
      <c r="V16" s="49" t="n">
        <v>6.916</v>
      </c>
      <c r="W16" s="50" t="n">
        <v>10.521</v>
      </c>
      <c r="X16" s="50" t="n">
        <v>22.591</v>
      </c>
      <c r="Y16" s="50"/>
      <c r="Z16" s="50"/>
      <c r="AA16" s="50"/>
      <c r="AB16" s="50"/>
      <c r="AC16" s="50"/>
      <c r="AD16" s="50"/>
      <c r="AE16" s="30" t="n">
        <v>4012</v>
      </c>
      <c r="AF16" s="31" t="n">
        <v>3989</v>
      </c>
      <c r="AG16" s="31" t="n">
        <v>4105</v>
      </c>
      <c r="AH16" s="31" t="n">
        <v>4309</v>
      </c>
      <c r="AI16" s="31" t="n">
        <v>3874</v>
      </c>
      <c r="AJ16" s="31" t="n">
        <v>4228</v>
      </c>
      <c r="AK16" s="31"/>
      <c r="AL16" s="31"/>
      <c r="AM16" s="31"/>
      <c r="AN16" s="31"/>
      <c r="AO16" s="31"/>
      <c r="AP16" s="32"/>
      <c r="AQ16" s="28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/>
      <c r="AX16" s="24"/>
      <c r="AY16" s="24"/>
      <c r="AZ16" s="24"/>
      <c r="BA16" s="24"/>
      <c r="BB16" s="29"/>
      <c r="BC16" s="28" t="n">
        <v>2.401</v>
      </c>
      <c r="BD16" s="24" t="n">
        <v>2.398</v>
      </c>
      <c r="BE16" s="24" t="n">
        <v>2.412</v>
      </c>
      <c r="BF16" s="24" t="n">
        <v>2.387</v>
      </c>
      <c r="BG16" s="24" t="n">
        <v>2601</v>
      </c>
      <c r="BH16" s="24" t="n">
        <v>2.215</v>
      </c>
      <c r="BI16" s="24"/>
      <c r="BJ16" s="24"/>
      <c r="BK16" s="24"/>
      <c r="BL16" s="24"/>
      <c r="BM16" s="24"/>
      <c r="BN16" s="29"/>
      <c r="BO16" s="30" t="n">
        <v>4100</v>
      </c>
      <c r="BP16" s="31" t="n">
        <v>5200</v>
      </c>
      <c r="BQ16" s="31" t="n">
        <v>4500</v>
      </c>
      <c r="BR16" s="31" t="n">
        <v>5300</v>
      </c>
      <c r="BS16" s="31" t="n">
        <v>4100</v>
      </c>
      <c r="BT16" s="31" t="n">
        <v>4430</v>
      </c>
      <c r="BU16" s="31"/>
      <c r="BV16" s="31"/>
      <c r="BW16" s="31"/>
      <c r="BX16" s="31"/>
      <c r="BY16" s="31"/>
      <c r="BZ16" s="32"/>
      <c r="CA16" s="30" t="n">
        <v>4500</v>
      </c>
      <c r="CB16" s="31" t="n">
        <v>5700</v>
      </c>
      <c r="CC16" s="31" t="n">
        <v>4400</v>
      </c>
      <c r="CD16" s="31" t="n">
        <v>4800</v>
      </c>
      <c r="CE16" s="31" t="n">
        <v>5100</v>
      </c>
      <c r="CF16" s="31" t="n">
        <v>5300</v>
      </c>
      <c r="CG16" s="31"/>
      <c r="CH16" s="31"/>
      <c r="CI16" s="31"/>
      <c r="CJ16" s="31"/>
      <c r="CK16" s="31"/>
      <c r="CL16" s="32"/>
      <c r="CM16" s="30" t="n">
        <v>2300</v>
      </c>
      <c r="CN16" s="31" t="n">
        <v>3100</v>
      </c>
      <c r="CO16" s="31" t="n">
        <v>3500</v>
      </c>
      <c r="CP16" s="31" t="n">
        <v>2900</v>
      </c>
      <c r="CQ16" s="31" t="n">
        <v>2870</v>
      </c>
      <c r="CR16" s="31" t="n">
        <v>3210</v>
      </c>
      <c r="CS16" s="31"/>
      <c r="CT16" s="31"/>
      <c r="CU16" s="31"/>
      <c r="CV16" s="31"/>
      <c r="CW16" s="31"/>
      <c r="CX16" s="32"/>
    </row>
    <row r="17" customFormat="false" ht="45" hidden="false" customHeight="true" outlineLevel="0" collapsed="false">
      <c r="B17" s="24"/>
      <c r="C17" s="25" t="s">
        <v>30</v>
      </c>
      <c r="D17" s="35"/>
      <c r="E17" s="35" t="s">
        <v>29</v>
      </c>
      <c r="F17" s="26" t="s">
        <v>19</v>
      </c>
      <c r="G17" s="27" t="n">
        <f aca="false">S17+AE17+AQ17+BC17+BO17+CA17+CM17</f>
        <v>0</v>
      </c>
      <c r="H17" s="36" t="n">
        <f aca="false">T17+AF17+AR17+BD17+BP17+CB17+CN17</f>
        <v>0</v>
      </c>
      <c r="I17" s="36" t="n">
        <f aca="false">U17+AG17+AS17+BE17+BQ17+CC17+CO17</f>
        <v>0</v>
      </c>
      <c r="J17" s="36" t="n">
        <f aca="false">V17+AH17+AT17+BF17+BR17+CD17+CP17</f>
        <v>0</v>
      </c>
      <c r="K17" s="36" t="n">
        <f aca="false">W17+AI17+AU17+BG17+BS17+CE17+CQ17</f>
        <v>0</v>
      </c>
      <c r="L17" s="36" t="n">
        <f aca="false">X17+AJ17+AV17+BH17+BT17+CF17+CR17</f>
        <v>0</v>
      </c>
      <c r="M17" s="36" t="n">
        <f aca="false">Y17+AK17+AW17+BI17+BU17+CG17+CS17</f>
        <v>0</v>
      </c>
      <c r="N17" s="36" t="n">
        <f aca="false">Z17+AL17+AX17+BJ17+BV17+CH17+CT17</f>
        <v>0</v>
      </c>
      <c r="O17" s="36" t="n">
        <f aca="false">AA17+AM17+AY17+BK17+BW17+CI17+CU17</f>
        <v>0</v>
      </c>
      <c r="P17" s="36" t="n">
        <f aca="false">AB17+AN17+AZ17+BL17+BX17+CJ17+CV17</f>
        <v>0</v>
      </c>
      <c r="Q17" s="36" t="n">
        <f aca="false">AC17+AO17+BA17+BM17+BY17+CK17+CW17</f>
        <v>0</v>
      </c>
      <c r="R17" s="37" t="n">
        <f aca="false">AD17+AP17+BB17+BN17+BZ17+CL17+CX17</f>
        <v>0</v>
      </c>
      <c r="S17" s="38" t="n">
        <v>0</v>
      </c>
      <c r="T17" s="39" t="n">
        <v>0</v>
      </c>
      <c r="U17" s="39" t="n">
        <v>0</v>
      </c>
      <c r="V17" s="39" t="n">
        <v>0</v>
      </c>
      <c r="W17" s="39" t="n">
        <v>0</v>
      </c>
      <c r="X17" s="39" t="n">
        <v>0</v>
      </c>
      <c r="Y17" s="39"/>
      <c r="Z17" s="39"/>
      <c r="AA17" s="39"/>
      <c r="AB17" s="39"/>
      <c r="AC17" s="39"/>
      <c r="AD17" s="40"/>
      <c r="AE17" s="38" t="n">
        <v>0</v>
      </c>
      <c r="AF17" s="39" t="n">
        <v>0</v>
      </c>
      <c r="AG17" s="39" t="n">
        <v>0</v>
      </c>
      <c r="AH17" s="39" t="n">
        <v>0</v>
      </c>
      <c r="AI17" s="39" t="n">
        <v>0</v>
      </c>
      <c r="AJ17" s="39" t="n">
        <v>0</v>
      </c>
      <c r="AK17" s="39"/>
      <c r="AL17" s="39"/>
      <c r="AM17" s="39"/>
      <c r="AN17" s="39"/>
      <c r="AO17" s="39"/>
      <c r="AP17" s="40"/>
      <c r="AQ17" s="38" t="n">
        <v>0</v>
      </c>
      <c r="AR17" s="39" t="n">
        <v>0</v>
      </c>
      <c r="AS17" s="39" t="n">
        <v>0</v>
      </c>
      <c r="AT17" s="39" t="n">
        <v>0</v>
      </c>
      <c r="AU17" s="39" t="n">
        <v>0</v>
      </c>
      <c r="AV17" s="39" t="n">
        <v>0</v>
      </c>
      <c r="AW17" s="39"/>
      <c r="AX17" s="39"/>
      <c r="AY17" s="39"/>
      <c r="AZ17" s="39"/>
      <c r="BA17" s="39"/>
      <c r="BB17" s="40"/>
      <c r="BC17" s="38" t="n">
        <v>0</v>
      </c>
      <c r="BD17" s="39" t="n">
        <v>0</v>
      </c>
      <c r="BE17" s="39" t="n">
        <v>0</v>
      </c>
      <c r="BF17" s="39" t="n">
        <v>0</v>
      </c>
      <c r="BG17" s="39" t="n">
        <v>0</v>
      </c>
      <c r="BH17" s="39" t="n">
        <v>0</v>
      </c>
      <c r="BI17" s="39"/>
      <c r="BJ17" s="39"/>
      <c r="BK17" s="39"/>
      <c r="BL17" s="39"/>
      <c r="BM17" s="39"/>
      <c r="BN17" s="40"/>
      <c r="BO17" s="38" t="n">
        <v>0</v>
      </c>
      <c r="BP17" s="39" t="n">
        <v>0</v>
      </c>
      <c r="BQ17" s="39" t="n">
        <v>0</v>
      </c>
      <c r="BR17" s="39" t="n">
        <v>0</v>
      </c>
      <c r="BS17" s="39" t="n">
        <v>0</v>
      </c>
      <c r="BT17" s="39" t="n">
        <v>0</v>
      </c>
      <c r="BU17" s="39"/>
      <c r="BV17" s="39"/>
      <c r="BW17" s="39"/>
      <c r="BX17" s="39"/>
      <c r="BY17" s="39"/>
      <c r="BZ17" s="40"/>
      <c r="CA17" s="38" t="n">
        <v>0</v>
      </c>
      <c r="CB17" s="39" t="n">
        <v>0</v>
      </c>
      <c r="CC17" s="39" t="n">
        <v>0</v>
      </c>
      <c r="CD17" s="39" t="n">
        <v>0</v>
      </c>
      <c r="CE17" s="39" t="n">
        <v>0</v>
      </c>
      <c r="CF17" s="39" t="n">
        <v>0</v>
      </c>
      <c r="CG17" s="39"/>
      <c r="CH17" s="39"/>
      <c r="CI17" s="39"/>
      <c r="CJ17" s="39"/>
      <c r="CK17" s="39"/>
      <c r="CL17" s="40"/>
      <c r="CM17" s="38" t="n">
        <v>0</v>
      </c>
      <c r="CN17" s="39" t="n">
        <v>0</v>
      </c>
      <c r="CO17" s="39" t="n">
        <v>0</v>
      </c>
      <c r="CP17" s="39" t="n">
        <v>0</v>
      </c>
      <c r="CQ17" s="39" t="n">
        <v>0</v>
      </c>
      <c r="CR17" s="39" t="n">
        <v>0</v>
      </c>
      <c r="CS17" s="39"/>
      <c r="CT17" s="39"/>
      <c r="CU17" s="39"/>
      <c r="CV17" s="39"/>
      <c r="CW17" s="39"/>
      <c r="CX17" s="40"/>
    </row>
    <row r="18" customFormat="false" ht="15" hidden="false" customHeight="false" outlineLevel="0" collapsed="false">
      <c r="B18" s="41"/>
      <c r="C18" s="42"/>
      <c r="D18" s="42"/>
      <c r="E18" s="42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</row>
    <row r="19" customFormat="false" ht="15" hidden="false" customHeight="false" outlineLevel="0" collapsed="false">
      <c r="B19" s="41"/>
      <c r="C19" s="42"/>
      <c r="D19" s="42"/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</row>
    <row r="20" customFormat="false" ht="15" hidden="false" customHeight="false" outlineLevel="0" collapsed="false">
      <c r="B20" s="41"/>
      <c r="C20" s="42"/>
      <c r="D20" s="42"/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</row>
    <row r="21" customFormat="false" ht="15" hidden="false" customHeight="false" outlineLevel="0" collapsed="false">
      <c r="B21" s="41"/>
      <c r="C21" s="42"/>
      <c r="D21" s="42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</row>
    <row r="22" customFormat="false" ht="15" hidden="false" customHeight="false" outlineLevel="0" collapsed="false">
      <c r="B22" s="41"/>
      <c r="C22" s="42"/>
      <c r="D22" s="42"/>
      <c r="E22" s="42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</row>
    <row r="23" customFormat="false" ht="15" hidden="false" customHeight="false" outlineLevel="0" collapsed="false">
      <c r="B23" s="41"/>
      <c r="C23" s="42"/>
      <c r="D23" s="42"/>
      <c r="E23" s="42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</row>
    <row r="24" customFormat="false" ht="15" hidden="false" customHeight="false" outlineLevel="0" collapsed="false">
      <c r="B24" s="41"/>
      <c r="C24" s="42"/>
      <c r="D24" s="42"/>
      <c r="E24" s="44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</row>
    <row r="25" customFormat="false" ht="15" hidden="false" customHeight="false" outlineLevel="0" collapsed="false">
      <c r="B25" s="41"/>
      <c r="C25" s="42"/>
      <c r="D25" s="42"/>
      <c r="E25" s="44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</row>
    <row r="26" customFormat="false" ht="15" hidden="false" customHeight="false" outlineLevel="0" collapsed="false">
      <c r="B26" s="41"/>
      <c r="C26" s="42"/>
      <c r="D26" s="42"/>
      <c r="E26" s="44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customFormat="false" ht="15" hidden="false" customHeight="false" outlineLevel="0" collapsed="false">
      <c r="B27" s="41"/>
      <c r="C27" s="42"/>
      <c r="D27" s="42"/>
      <c r="E27" s="44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customFormat="false" ht="15" hidden="false" customHeight="false" outlineLevel="0" collapsed="false">
      <c r="B28" s="41"/>
      <c r="C28" s="42"/>
      <c r="D28" s="42"/>
      <c r="E28" s="44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customFormat="false" ht="15" hidden="false" customHeight="false" outlineLevel="0" collapsed="false">
      <c r="B29" s="41"/>
      <c r="C29" s="42"/>
      <c r="D29" s="42"/>
      <c r="E29" s="44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customFormat="false" ht="15" hidden="false" customHeight="false" outlineLevel="0" collapsed="false">
      <c r="B30" s="41"/>
      <c r="C30" s="42"/>
      <c r="D30" s="42"/>
      <c r="E30" s="44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customFormat="false" ht="15" hidden="false" customHeight="false" outlineLevel="0" collapsed="false">
      <c r="B31" s="41"/>
      <c r="C31" s="42"/>
      <c r="D31" s="42"/>
      <c r="E31" s="42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customFormat="false" ht="15" hidden="false" customHeight="false" outlineLevel="0" collapsed="false">
      <c r="B32" s="41"/>
      <c r="C32" s="42"/>
      <c r="D32" s="42"/>
      <c r="E32" s="42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customFormat="false" ht="15" hidden="false" customHeight="false" outlineLevel="0" collapsed="false">
      <c r="B33" s="41"/>
      <c r="C33" s="42"/>
      <c r="D33" s="42"/>
      <c r="E33" s="42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customFormat="false" ht="15" hidden="false" customHeight="false" outlineLevel="0" collapsed="false">
      <c r="B34" s="41"/>
      <c r="C34" s="42"/>
      <c r="D34" s="42"/>
      <c r="E34" s="42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customFormat="false" ht="15" hidden="false" customHeight="false" outlineLevel="0" collapsed="false">
      <c r="B35" s="41"/>
      <c r="C35" s="42"/>
      <c r="D35" s="42"/>
      <c r="E35" s="42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customFormat="false" ht="15" hidden="false" customHeight="false" outlineLevel="0" collapsed="false">
      <c r="B36" s="41"/>
      <c r="C36" s="42"/>
      <c r="D36" s="42"/>
      <c r="E36" s="42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</row>
    <row r="37" customFormat="false" ht="15" hidden="false" customHeight="false" outlineLevel="0" collapsed="false">
      <c r="B37" s="41"/>
      <c r="C37" s="42"/>
      <c r="D37" s="42"/>
      <c r="E37" s="44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customFormat="false" ht="15" hidden="false" customHeight="false" outlineLevel="0" collapsed="false">
      <c r="B38" s="41"/>
      <c r="C38" s="42"/>
      <c r="D38" s="42"/>
      <c r="E38" s="44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</row>
    <row r="39" customFormat="false" ht="15" hidden="false" customHeight="false" outlineLevel="0" collapsed="false">
      <c r="B39" s="41"/>
      <c r="C39" s="42"/>
      <c r="D39" s="42"/>
      <c r="E39" s="44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</row>
    <row r="40" customFormat="false" ht="15" hidden="false" customHeight="false" outlineLevel="0" collapsed="false">
      <c r="B40" s="41"/>
      <c r="C40" s="42"/>
      <c r="D40" s="42"/>
      <c r="E40" s="44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</row>
    <row r="41" customFormat="false" ht="15" hidden="false" customHeight="false" outlineLevel="0" collapsed="false">
      <c r="B41" s="41"/>
      <c r="C41" s="42"/>
      <c r="D41" s="42"/>
      <c r="E41" s="44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</row>
    <row r="42" customFormat="false" ht="15" hidden="false" customHeight="false" outlineLevel="0" collapsed="false">
      <c r="B42" s="41"/>
      <c r="C42" s="42"/>
      <c r="D42" s="42"/>
      <c r="E42" s="44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</row>
    <row r="43" customFormat="false" ht="15" hidden="false" customHeight="false" outlineLevel="0" collapsed="false">
      <c r="B43" s="41"/>
      <c r="C43" s="42"/>
      <c r="D43" s="42"/>
      <c r="E43" s="44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</row>
    <row r="44" customFormat="false" ht="15" hidden="false" customHeight="false" outlineLevel="0" collapsed="false">
      <c r="B44" s="41"/>
      <c r="C44" s="42"/>
      <c r="D44" s="42"/>
      <c r="E44" s="42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</row>
    <row r="45" customFormat="false" ht="15" hidden="false" customHeight="false" outlineLevel="0" collapsed="false">
      <c r="B45" s="41"/>
      <c r="C45" s="42"/>
      <c r="D45" s="42"/>
      <c r="E45" s="42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</row>
    <row r="46" customFormat="false" ht="15" hidden="false" customHeight="false" outlineLevel="0" collapsed="false">
      <c r="B46" s="41"/>
      <c r="C46" s="42"/>
      <c r="D46" s="42"/>
      <c r="E46" s="42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</row>
    <row r="47" customFormat="false" ht="15" hidden="false" customHeight="false" outlineLevel="0" collapsed="false">
      <c r="B47" s="41"/>
      <c r="C47" s="42"/>
      <c r="D47" s="42"/>
      <c r="E47" s="42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</row>
    <row r="48" customFormat="false" ht="15" hidden="false" customHeight="false" outlineLevel="0" collapsed="false">
      <c r="B48" s="41"/>
      <c r="C48" s="42"/>
      <c r="D48" s="42"/>
      <c r="E48" s="42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</row>
    <row r="49" customFormat="false" ht="15" hidden="false" customHeight="false" outlineLevel="0" collapsed="false">
      <c r="B49" s="41"/>
      <c r="C49" s="42"/>
      <c r="D49" s="42"/>
      <c r="E49" s="42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</row>
    <row r="50" customFormat="false" ht="15" hidden="false" customHeight="false" outlineLevel="0" collapsed="false">
      <c r="B50" s="41"/>
      <c r="C50" s="42"/>
      <c r="D50" s="42"/>
      <c r="E50" s="44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</row>
    <row r="51" customFormat="false" ht="15" hidden="false" customHeight="false" outlineLevel="0" collapsed="false">
      <c r="B51" s="41"/>
      <c r="C51" s="42"/>
      <c r="D51" s="42"/>
      <c r="E51" s="44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</row>
    <row r="52" customFormat="false" ht="15" hidden="false" customHeight="false" outlineLevel="0" collapsed="false">
      <c r="B52" s="41"/>
      <c r="C52" s="42"/>
      <c r="D52" s="42"/>
      <c r="E52" s="44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</row>
    <row r="53" customFormat="false" ht="15" hidden="false" customHeight="false" outlineLevel="0" collapsed="false">
      <c r="B53" s="41"/>
      <c r="C53" s="42"/>
      <c r="D53" s="42"/>
      <c r="E53" s="44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customFormat="false" ht="15" hidden="false" customHeight="false" outlineLevel="0" collapsed="false">
      <c r="B54" s="41"/>
      <c r="C54" s="42"/>
      <c r="D54" s="42"/>
      <c r="E54" s="44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customFormat="false" ht="15" hidden="false" customHeight="false" outlineLevel="0" collapsed="false">
      <c r="B55" s="41"/>
      <c r="C55" s="42"/>
      <c r="D55" s="42"/>
      <c r="E55" s="44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</row>
    <row r="56" customFormat="false" ht="15" hidden="false" customHeight="false" outlineLevel="0" collapsed="false">
      <c r="B56" s="41"/>
      <c r="C56" s="42"/>
      <c r="D56" s="42"/>
      <c r="E56" s="44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</row>
  </sheetData>
  <mergeCells count="12">
    <mergeCell ref="G3:R3"/>
    <mergeCell ref="S3:AD3"/>
    <mergeCell ref="AE3:AP3"/>
    <mergeCell ref="AQ3:BB3"/>
    <mergeCell ref="BC3:BN3"/>
    <mergeCell ref="BO3:BZ3"/>
    <mergeCell ref="CA3:CL3"/>
    <mergeCell ref="CM3:CX3"/>
    <mergeCell ref="B5:B17"/>
    <mergeCell ref="D11:D12"/>
    <mergeCell ref="D13:D14"/>
    <mergeCell ref="D15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Sandro Padilha Dias Junior</dc:creator>
  <dc:description/>
  <dc:language>en-US</dc:language>
  <cp:lastModifiedBy/>
  <dcterms:modified xsi:type="dcterms:W3CDTF">2026-10-09T18:38:05Z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0x01010042C69AF333E13E4EB919682D5E252D96</vt:lpwstr>
  </property>
  <property fmtid="{D5CDD505-2E9C-101B-9397-08002B2CF9AE}" pid="3" name="MediaServiceImageTags">
    <vt:lpwstr/>
  </property>
</Properties>
</file>