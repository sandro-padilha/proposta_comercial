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Curva orçamentária" sheetId="3" state="visible" r:id="rId3"/>
    <sheet xmlns:r="http://schemas.openxmlformats.org/officeDocument/2006/relationships" name="Premissas de praz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dd/mm"/>
    <numFmt numFmtId="167" formatCode="dd/mm/yy"/>
    <numFmt numFmtId="168" formatCode="mmm/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  <font>
      <i val="1"/>
      <color rgb="00628C0E"/>
    </font>
  </fonts>
  <fills count="4">
    <fill>
      <patternFill/>
    </fill>
    <fill>
      <patternFill patternType="gray125"/>
    </fill>
    <fill>
      <patternFill patternType="solid">
        <fgColor rgb="001F1F4C"/>
      </patternFill>
    </fill>
    <fill>
      <patternFill patternType="solid">
        <fgColor rgb="00E8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1" fillId="2" borderId="0" applyAlignment="1" pivotButton="0" quotePrefix="0" xfId="0">
      <alignment horizontal="center" textRotation="90"/>
    </xf>
    <xf numFmtId="167" fontId="2" fillId="0" borderId="0" pivotButton="0" quotePrefix="0" xfId="0"/>
    <xf numFmtId="167" fontId="0" fillId="0" borderId="0" pivotButton="0" quotePrefix="0" xfId="0"/>
    <xf numFmtId="0" fontId="1" fillId="2" borderId="0" applyAlignment="1" pivotButton="0" quotePrefix="0" xfId="0">
      <alignment horizontal="center" wrapText="1"/>
    </xf>
    <xf numFmtId="168" fontId="0" fillId="0" borderId="0" pivotButton="0" quotePrefix="0" xfId="0"/>
    <xf numFmtId="3" fontId="0" fillId="0" borderId="0" pivotButton="0" quotePrefix="0" xfId="0"/>
    <xf numFmtId="168" fontId="2" fillId="0" borderId="0" pivotButton="0" quotePrefix="0" xfId="0"/>
    <xf numFmtId="3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B8BCD6"/>
          <bgColor rgb="00B8BCD6"/>
        </patternFill>
      </fill>
    </dxf>
    <dxf>
      <fill>
        <patternFill patternType="solid">
          <fgColor rgb="00628C0E"/>
          <bgColor rgb="00628C0E"/>
        </patternFill>
      </fill>
    </dxf>
    <dxf>
      <fill>
        <patternFill patternType="solid">
          <fgColor rgb="00F47B20"/>
          <bgColor rgb="00F47B20"/>
        </patternFill>
      </fill>
    </dxf>
    <dxf>
      <fill>
        <patternFill patternType="solid">
          <fgColor rgb="00989898"/>
          <bgColor rgb="00989898"/>
        </patternFill>
      </fill>
    </dxf>
    <dxf>
      <fill>
        <patternFill patternType="solid">
          <fgColor rgb="001F1F4C"/>
          <bgColor rgb="001F1F4C"/>
        </patternFill>
      </fill>
    </dxf>
    <dxf>
      <fill>
        <patternFill patternType="solid">
          <fgColor rgb="00009FC2"/>
          <bgColor rgb="00009F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8" customWidth="1" min="2" max="2"/>
    <col width="14" customWidth="1" min="3" max="3"/>
    <col width="12" customWidth="1" min="4" max="4"/>
    <col width="12" customWidth="1" min="5" max="5"/>
    <col width="9" customWidth="1" min="6" max="6"/>
    <col width="7" customWidth="1" min="7" max="7"/>
  </cols>
  <sheetData>
    <row r="1">
      <c r="A1" s="1" t="inlineStr">
        <is>
          <t>WBS</t>
        </is>
      </c>
      <c r="B1" s="1" t="inlineStr">
        <is>
          <t>Nome da tarefa</t>
        </is>
      </c>
      <c r="C1" s="1" t="inlineStr">
        <is>
          <t>Duração (dias)</t>
        </is>
      </c>
      <c r="D1" s="1" t="inlineStr">
        <is>
          <t>Início</t>
        </is>
      </c>
      <c r="E1" s="1" t="inlineStr">
        <is>
          <t>Término</t>
        </is>
      </c>
      <c r="F1" s="1" t="inlineStr">
        <is>
          <t>SIGCO</t>
        </is>
      </c>
      <c r="G1" s="1" t="inlineStr">
        <is>
          <t>Tipo</t>
        </is>
      </c>
    </row>
    <row r="2">
      <c r="A2" s="2" t="inlineStr">
        <is>
          <t>1</t>
        </is>
      </c>
      <c r="B2" s="2" t="inlineStr">
        <is>
          <t>PN 2027 - Obras DCMD - Instalação de Equipamentos Especiais (RL / RT / BC)</t>
        </is>
      </c>
      <c r="C2" s="2" t="n"/>
      <c r="D2" s="3" t="n"/>
      <c r="E2" s="3" t="n"/>
      <c r="F2" s="2" t="n"/>
      <c r="G2" s="2" t="n"/>
    </row>
    <row r="3">
      <c r="A3" s="4" t="inlineStr">
        <is>
          <t>1.1</t>
        </is>
      </c>
      <c r="B3" s="4" t="inlineStr">
        <is>
          <t>BLOCO 1 - 90811 - LD UHE Isamu - Ponte Alta - 1UI1 - Instalação de 4 RL 34,5 kV</t>
        </is>
      </c>
      <c r="C3" s="4" t="n">
        <v>84</v>
      </c>
      <c r="D3" s="5" t="n">
        <v>46434</v>
      </c>
      <c r="E3" s="5" t="n">
        <v>46518</v>
      </c>
      <c r="F3" s="4" t="n">
        <v>90811</v>
      </c>
      <c r="G3" s="4" t="inlineStr">
        <is>
          <t>RL</t>
        </is>
      </c>
    </row>
    <row r="4">
      <c r="A4" t="inlineStr">
        <is>
          <t>1.1.1</t>
        </is>
      </c>
      <c r="B4" t="inlineStr">
        <is>
          <t>Executar Obras</t>
        </is>
      </c>
      <c r="C4" t="n">
        <v>30</v>
      </c>
      <c r="D4" s="6" t="n">
        <v>46434</v>
      </c>
      <c r="E4" s="6" t="n">
        <v>46464</v>
      </c>
      <c r="F4" t="n">
        <v>90811</v>
      </c>
      <c r="G4" t="inlineStr">
        <is>
          <t>RL</t>
        </is>
      </c>
    </row>
    <row r="5">
      <c r="A5" s="7" t="inlineStr">
        <is>
          <t>1.1.2</t>
        </is>
      </c>
      <c r="B5" s="7" t="inlineStr">
        <is>
          <t>Obras Concluídas (marco)</t>
        </is>
      </c>
      <c r="C5" s="7" t="n">
        <v>0</v>
      </c>
      <c r="D5" s="8" t="n">
        <v>46464</v>
      </c>
      <c r="E5" s="8" t="n">
        <v>46464</v>
      </c>
      <c r="F5" s="7" t="n">
        <v>90811</v>
      </c>
      <c r="G5" s="7" t="inlineStr">
        <is>
          <t>RL</t>
        </is>
      </c>
    </row>
    <row r="6">
      <c r="A6" t="inlineStr">
        <is>
          <t>1.1.3</t>
        </is>
      </c>
      <c r="B6" t="inlineStr">
        <is>
          <t>Fiscalização</t>
        </is>
      </c>
      <c r="C6" t="n">
        <v>12</v>
      </c>
      <c r="D6" s="6" t="n">
        <v>46465</v>
      </c>
      <c r="E6" s="6" t="n">
        <v>46477</v>
      </c>
      <c r="F6" t="n">
        <v>90811</v>
      </c>
      <c r="G6" t="inlineStr">
        <is>
          <t>RL</t>
        </is>
      </c>
    </row>
    <row r="7">
      <c r="A7" t="inlineStr">
        <is>
          <t>1.1.4</t>
        </is>
      </c>
      <c r="B7" t="inlineStr">
        <is>
          <t>Cadastro EO / Integração parcial</t>
        </is>
      </c>
      <c r="C7" t="n">
        <v>10</v>
      </c>
      <c r="D7" s="6" t="n">
        <v>46478</v>
      </c>
      <c r="E7" s="6" t="n">
        <v>46488</v>
      </c>
      <c r="F7" t="n">
        <v>90811</v>
      </c>
      <c r="G7" t="inlineStr">
        <is>
          <t>RL</t>
        </is>
      </c>
    </row>
    <row r="8">
      <c r="A8" t="inlineStr">
        <is>
          <t>1.1.5</t>
        </is>
      </c>
      <c r="B8" t="inlineStr">
        <is>
          <t>Entrega do TCI pela empreiteira / Integração final</t>
        </is>
      </c>
      <c r="C8" t="n">
        <v>15</v>
      </c>
      <c r="D8" s="6" t="n">
        <v>46489</v>
      </c>
      <c r="E8" s="6" t="n">
        <v>46504</v>
      </c>
      <c r="F8" t="n">
        <v>90811</v>
      </c>
      <c r="G8" t="inlineStr">
        <is>
          <t>RL</t>
        </is>
      </c>
    </row>
    <row r="9">
      <c r="A9" t="inlineStr">
        <is>
          <t>1.1.6</t>
        </is>
      </c>
      <c r="B9" t="inlineStr">
        <is>
          <t>Abertura de chamado / Atendimento GAT</t>
        </is>
      </c>
      <c r="C9" t="n">
        <v>8</v>
      </c>
      <c r="D9" s="6" t="n">
        <v>46489</v>
      </c>
      <c r="E9" s="6" t="n">
        <v>46497</v>
      </c>
      <c r="F9" t="n">
        <v>90811</v>
      </c>
      <c r="G9" t="inlineStr">
        <is>
          <t>RL</t>
        </is>
      </c>
    </row>
    <row r="10">
      <c r="A10" t="inlineStr">
        <is>
          <t>1.1.7</t>
        </is>
      </c>
      <c r="B10" t="inlineStr">
        <is>
          <t>Comissionar Equipamentos</t>
        </is>
      </c>
      <c r="C10" t="n">
        <v>15</v>
      </c>
      <c r="D10" s="6" t="n">
        <v>46489</v>
      </c>
      <c r="E10" s="6" t="n">
        <v>46504</v>
      </c>
      <c r="F10" t="n">
        <v>90811</v>
      </c>
      <c r="G10" t="inlineStr">
        <is>
          <t>RL</t>
        </is>
      </c>
    </row>
    <row r="11">
      <c r="A11" s="7" t="inlineStr">
        <is>
          <t>1.1.8</t>
        </is>
      </c>
      <c r="B11" s="7" t="inlineStr">
        <is>
          <t>Equipamentos em Operação / Energização (marco)</t>
        </is>
      </c>
      <c r="C11" s="7" t="n">
        <v>0</v>
      </c>
      <c r="D11" s="8" t="n">
        <v>46504</v>
      </c>
      <c r="E11" s="8" t="n">
        <v>46504</v>
      </c>
      <c r="F11" s="7" t="n">
        <v>90811</v>
      </c>
      <c r="G11" s="7" t="inlineStr">
        <is>
          <t>RL</t>
        </is>
      </c>
    </row>
    <row r="12">
      <c r="A12" t="inlineStr">
        <is>
          <t>1.1.9</t>
        </is>
      </c>
      <c r="B12" t="inlineStr">
        <is>
          <t>Encerramento Técnico</t>
        </is>
      </c>
      <c r="C12" t="n">
        <v>7</v>
      </c>
      <c r="D12" s="6" t="n">
        <v>46505</v>
      </c>
      <c r="E12" s="6" t="n">
        <v>46513</v>
      </c>
      <c r="F12" t="n">
        <v>90811</v>
      </c>
      <c r="G12" t="inlineStr">
        <is>
          <t>RL</t>
        </is>
      </c>
    </row>
    <row r="13">
      <c r="A13" t="inlineStr">
        <is>
          <t>1.1.10</t>
        </is>
      </c>
      <c r="B13" t="inlineStr">
        <is>
          <t>Encerramento Contábil</t>
        </is>
      </c>
      <c r="C13" t="n">
        <v>3</v>
      </c>
      <c r="D13" s="6" t="n">
        <v>46514</v>
      </c>
      <c r="E13" s="6" t="n">
        <v>46518</v>
      </c>
      <c r="F13" t="n">
        <v>90811</v>
      </c>
      <c r="G13" t="inlineStr">
        <is>
          <t>RL</t>
        </is>
      </c>
    </row>
    <row r="14">
      <c r="A14" s="4" t="inlineStr">
        <is>
          <t>1.2</t>
        </is>
      </c>
      <c r="B14" s="4" t="inlineStr">
        <is>
          <t>BLOCO 2 - 90811 - LD UHE Isamu - Ponte Alta - 1UI1 - Instalação de 3 RT 34,5 kV</t>
        </is>
      </c>
      <c r="C14" s="4" t="n">
        <v>84</v>
      </c>
      <c r="D14" s="5" t="n">
        <v>46434</v>
      </c>
      <c r="E14" s="5" t="n">
        <v>46518</v>
      </c>
      <c r="F14" s="4" t="n">
        <v>90811</v>
      </c>
      <c r="G14" s="4" t="inlineStr">
        <is>
          <t>RT</t>
        </is>
      </c>
    </row>
    <row r="15">
      <c r="A15" t="inlineStr">
        <is>
          <t>1.2.1</t>
        </is>
      </c>
      <c r="B15" t="inlineStr">
        <is>
          <t>Executar Obras</t>
        </is>
      </c>
      <c r="C15" t="n">
        <v>30</v>
      </c>
      <c r="D15" s="6" t="n">
        <v>46434</v>
      </c>
      <c r="E15" s="6" t="n">
        <v>46464</v>
      </c>
      <c r="F15" t="n">
        <v>90811</v>
      </c>
      <c r="G15" t="inlineStr">
        <is>
          <t>RT</t>
        </is>
      </c>
    </row>
    <row r="16">
      <c r="A16" s="7" t="inlineStr">
        <is>
          <t>1.2.2</t>
        </is>
      </c>
      <c r="B16" s="7" t="inlineStr">
        <is>
          <t>Obras Concluídas (marco)</t>
        </is>
      </c>
      <c r="C16" s="7" t="n">
        <v>0</v>
      </c>
      <c r="D16" s="8" t="n">
        <v>46464</v>
      </c>
      <c r="E16" s="8" t="n">
        <v>46464</v>
      </c>
      <c r="F16" s="7" t="n">
        <v>90811</v>
      </c>
      <c r="G16" s="7" t="inlineStr">
        <is>
          <t>RT</t>
        </is>
      </c>
    </row>
    <row r="17">
      <c r="A17" t="inlineStr">
        <is>
          <t>1.2.3</t>
        </is>
      </c>
      <c r="B17" t="inlineStr">
        <is>
          <t>Fiscalização</t>
        </is>
      </c>
      <c r="C17" t="n">
        <v>12</v>
      </c>
      <c r="D17" s="6" t="n">
        <v>46465</v>
      </c>
      <c r="E17" s="6" t="n">
        <v>46477</v>
      </c>
      <c r="F17" t="n">
        <v>90811</v>
      </c>
      <c r="G17" t="inlineStr">
        <is>
          <t>RT</t>
        </is>
      </c>
    </row>
    <row r="18">
      <c r="A18" t="inlineStr">
        <is>
          <t>1.2.4</t>
        </is>
      </c>
      <c r="B18" t="inlineStr">
        <is>
          <t>Cadastro EO / Integração parcial</t>
        </is>
      </c>
      <c r="C18" t="n">
        <v>10</v>
      </c>
      <c r="D18" s="6" t="n">
        <v>46478</v>
      </c>
      <c r="E18" s="6" t="n">
        <v>46488</v>
      </c>
      <c r="F18" t="n">
        <v>90811</v>
      </c>
      <c r="G18" t="inlineStr">
        <is>
          <t>RT</t>
        </is>
      </c>
    </row>
    <row r="19">
      <c r="A19" t="inlineStr">
        <is>
          <t>1.2.5</t>
        </is>
      </c>
      <c r="B19" t="inlineStr">
        <is>
          <t>Entrega do TCI pela empreiteira / Integração final</t>
        </is>
      </c>
      <c r="C19" t="n">
        <v>15</v>
      </c>
      <c r="D19" s="6" t="n">
        <v>46489</v>
      </c>
      <c r="E19" s="6" t="n">
        <v>46504</v>
      </c>
      <c r="F19" t="n">
        <v>90811</v>
      </c>
      <c r="G19" t="inlineStr">
        <is>
          <t>RT</t>
        </is>
      </c>
    </row>
    <row r="20">
      <c r="A20" t="inlineStr">
        <is>
          <t>1.2.6</t>
        </is>
      </c>
      <c r="B20" t="inlineStr">
        <is>
          <t>Comissionar Equipamentos</t>
        </is>
      </c>
      <c r="C20" t="n">
        <v>15</v>
      </c>
      <c r="D20" s="6" t="n">
        <v>46489</v>
      </c>
      <c r="E20" s="6" t="n">
        <v>46504</v>
      </c>
      <c r="F20" t="n">
        <v>90811</v>
      </c>
      <c r="G20" t="inlineStr">
        <is>
          <t>RT</t>
        </is>
      </c>
    </row>
    <row r="21">
      <c r="A21" s="7" t="inlineStr">
        <is>
          <t>1.2.7</t>
        </is>
      </c>
      <c r="B21" s="7" t="inlineStr">
        <is>
          <t>Equipamentos em Operação / Energização (marco)</t>
        </is>
      </c>
      <c r="C21" s="7" t="n">
        <v>0</v>
      </c>
      <c r="D21" s="8" t="n">
        <v>46504</v>
      </c>
      <c r="E21" s="8" t="n">
        <v>46504</v>
      </c>
      <c r="F21" s="7" t="n">
        <v>90811</v>
      </c>
      <c r="G21" s="7" t="inlineStr">
        <is>
          <t>RT</t>
        </is>
      </c>
    </row>
    <row r="22">
      <c r="A22" t="inlineStr">
        <is>
          <t>1.2.8</t>
        </is>
      </c>
      <c r="B22" t="inlineStr">
        <is>
          <t>Encerramento Técnico</t>
        </is>
      </c>
      <c r="C22" t="n">
        <v>7</v>
      </c>
      <c r="D22" s="6" t="n">
        <v>46505</v>
      </c>
      <c r="E22" s="6" t="n">
        <v>46513</v>
      </c>
      <c r="F22" t="n">
        <v>90811</v>
      </c>
      <c r="G22" t="inlineStr">
        <is>
          <t>RT</t>
        </is>
      </c>
    </row>
    <row r="23">
      <c r="A23" t="inlineStr">
        <is>
          <t>1.2.9</t>
        </is>
      </c>
      <c r="B23" t="inlineStr">
        <is>
          <t>Encerramento Contábil</t>
        </is>
      </c>
      <c r="C23" t="n">
        <v>3</v>
      </c>
      <c r="D23" s="6" t="n">
        <v>46514</v>
      </c>
      <c r="E23" s="6" t="n">
        <v>46518</v>
      </c>
      <c r="F23" t="n">
        <v>90811</v>
      </c>
      <c r="G23" t="inlineStr">
        <is>
          <t>RT</t>
        </is>
      </c>
    </row>
    <row r="24">
      <c r="A24" s="4" t="inlineStr">
        <is>
          <t>1.3</t>
        </is>
      </c>
      <c r="B24" s="4" t="inlineStr">
        <is>
          <t>BLOCO 3 - 89267 - LD Xambioá II - Araguanã - 2XB2 - Instalação de 2 RT 34,5 kV</t>
        </is>
      </c>
      <c r="C24" s="4" t="n">
        <v>84</v>
      </c>
      <c r="D24" s="5" t="n">
        <v>46462</v>
      </c>
      <c r="E24" s="5" t="n">
        <v>46546</v>
      </c>
      <c r="F24" s="4" t="n">
        <v>89267</v>
      </c>
      <c r="G24" s="4" t="inlineStr">
        <is>
          <t>RT</t>
        </is>
      </c>
    </row>
    <row r="25">
      <c r="A25" t="inlineStr">
        <is>
          <t>1.3.1</t>
        </is>
      </c>
      <c r="B25" t="inlineStr">
        <is>
          <t>Executar Obras</t>
        </is>
      </c>
      <c r="C25" t="n">
        <v>30</v>
      </c>
      <c r="D25" s="6" t="n">
        <v>46462</v>
      </c>
      <c r="E25" s="6" t="n">
        <v>46492</v>
      </c>
      <c r="F25" t="n">
        <v>89267</v>
      </c>
      <c r="G25" t="inlineStr">
        <is>
          <t>RT</t>
        </is>
      </c>
    </row>
    <row r="26">
      <c r="A26" s="7" t="inlineStr">
        <is>
          <t>1.3.2</t>
        </is>
      </c>
      <c r="B26" s="7" t="inlineStr">
        <is>
          <t>Obras Concluídas (marco)</t>
        </is>
      </c>
      <c r="C26" s="7" t="n">
        <v>0</v>
      </c>
      <c r="D26" s="8" t="n">
        <v>46492</v>
      </c>
      <c r="E26" s="8" t="n">
        <v>46492</v>
      </c>
      <c r="F26" s="7" t="n">
        <v>89267</v>
      </c>
      <c r="G26" s="7" t="inlineStr">
        <is>
          <t>RT</t>
        </is>
      </c>
    </row>
    <row r="27">
      <c r="A27" t="inlineStr">
        <is>
          <t>1.3.3</t>
        </is>
      </c>
      <c r="B27" t="inlineStr">
        <is>
          <t>Fiscalização</t>
        </is>
      </c>
      <c r="C27" t="n">
        <v>12</v>
      </c>
      <c r="D27" s="6" t="n">
        <v>46493</v>
      </c>
      <c r="E27" s="6" t="n">
        <v>46505</v>
      </c>
      <c r="F27" t="n">
        <v>89267</v>
      </c>
      <c r="G27" t="inlineStr">
        <is>
          <t>RT</t>
        </is>
      </c>
    </row>
    <row r="28">
      <c r="A28" t="inlineStr">
        <is>
          <t>1.3.4</t>
        </is>
      </c>
      <c r="B28" t="inlineStr">
        <is>
          <t>Cadastro EO / Integração parcial</t>
        </is>
      </c>
      <c r="C28" t="n">
        <v>10</v>
      </c>
      <c r="D28" s="6" t="n">
        <v>46506</v>
      </c>
      <c r="E28" s="6" t="n">
        <v>46516</v>
      </c>
      <c r="F28" t="n">
        <v>89267</v>
      </c>
      <c r="G28" t="inlineStr">
        <is>
          <t>RT</t>
        </is>
      </c>
    </row>
    <row r="29">
      <c r="A29" t="inlineStr">
        <is>
          <t>1.3.5</t>
        </is>
      </c>
      <c r="B29" t="inlineStr">
        <is>
          <t>Entrega do TCI pela empreiteira / Integração final</t>
        </is>
      </c>
      <c r="C29" t="n">
        <v>15</v>
      </c>
      <c r="D29" s="6" t="n">
        <v>46517</v>
      </c>
      <c r="E29" s="6" t="n">
        <v>46532</v>
      </c>
      <c r="F29" t="n">
        <v>89267</v>
      </c>
      <c r="G29" t="inlineStr">
        <is>
          <t>RT</t>
        </is>
      </c>
    </row>
    <row r="30">
      <c r="A30" t="inlineStr">
        <is>
          <t>1.3.6</t>
        </is>
      </c>
      <c r="B30" t="inlineStr">
        <is>
          <t>Comissionar Equipamentos</t>
        </is>
      </c>
      <c r="C30" t="n">
        <v>15</v>
      </c>
      <c r="D30" s="6" t="n">
        <v>46517</v>
      </c>
      <c r="E30" s="6" t="n">
        <v>46532</v>
      </c>
      <c r="F30" t="n">
        <v>89267</v>
      </c>
      <c r="G30" t="inlineStr">
        <is>
          <t>RT</t>
        </is>
      </c>
    </row>
    <row r="31">
      <c r="A31" s="7" t="inlineStr">
        <is>
          <t>1.3.7</t>
        </is>
      </c>
      <c r="B31" s="7" t="inlineStr">
        <is>
          <t>Equipamentos em Operação / Energização (marco)</t>
        </is>
      </c>
      <c r="C31" s="7" t="n">
        <v>0</v>
      </c>
      <c r="D31" s="8" t="n">
        <v>46532</v>
      </c>
      <c r="E31" s="8" t="n">
        <v>46532</v>
      </c>
      <c r="F31" s="7" t="n">
        <v>89267</v>
      </c>
      <c r="G31" s="7" t="inlineStr">
        <is>
          <t>RT</t>
        </is>
      </c>
    </row>
    <row r="32">
      <c r="A32" t="inlineStr">
        <is>
          <t>1.3.8</t>
        </is>
      </c>
      <c r="B32" t="inlineStr">
        <is>
          <t>Encerramento Técnico</t>
        </is>
      </c>
      <c r="C32" t="n">
        <v>7</v>
      </c>
      <c r="D32" s="6" t="n">
        <v>46533</v>
      </c>
      <c r="E32" s="6" t="n">
        <v>46541</v>
      </c>
      <c r="F32" t="n">
        <v>89267</v>
      </c>
      <c r="G32" t="inlineStr">
        <is>
          <t>RT</t>
        </is>
      </c>
    </row>
    <row r="33">
      <c r="A33" t="inlineStr">
        <is>
          <t>1.3.9</t>
        </is>
      </c>
      <c r="B33" t="inlineStr">
        <is>
          <t>Encerramento Contábil</t>
        </is>
      </c>
      <c r="C33" t="n">
        <v>3</v>
      </c>
      <c r="D33" s="6" t="n">
        <v>46542</v>
      </c>
      <c r="E33" s="6" t="n">
        <v>46546</v>
      </c>
      <c r="F33" t="n">
        <v>89267</v>
      </c>
      <c r="G33" t="inlineStr">
        <is>
          <t>RT</t>
        </is>
      </c>
    </row>
    <row r="34">
      <c r="A34" s="4" t="inlineStr">
        <is>
          <t>1.4</t>
        </is>
      </c>
      <c r="B34" s="4" t="inlineStr">
        <is>
          <t>BLOCO 4 - 91979 - QS-LD Gurupi - Duere - Instalação de 1 RL rural 34,5 kV + 3 TripSaver</t>
        </is>
      </c>
      <c r="C34" s="4" t="n">
        <v>84</v>
      </c>
      <c r="D34" s="5" t="n">
        <v>46462</v>
      </c>
      <c r="E34" s="5" t="n">
        <v>46546</v>
      </c>
      <c r="F34" s="4" t="n">
        <v>91979</v>
      </c>
      <c r="G34" s="4" t="inlineStr">
        <is>
          <t>RL</t>
        </is>
      </c>
    </row>
    <row r="35">
      <c r="A35" t="inlineStr">
        <is>
          <t>1.4.1</t>
        </is>
      </c>
      <c r="B35" t="inlineStr">
        <is>
          <t>Executar Obras</t>
        </is>
      </c>
      <c r="C35" t="n">
        <v>30</v>
      </c>
      <c r="D35" s="6" t="n">
        <v>46462</v>
      </c>
      <c r="E35" s="6" t="n">
        <v>46492</v>
      </c>
      <c r="F35" t="n">
        <v>91979</v>
      </c>
      <c r="G35" t="inlineStr">
        <is>
          <t>RL</t>
        </is>
      </c>
    </row>
    <row r="36">
      <c r="A36" s="7" t="inlineStr">
        <is>
          <t>1.4.2</t>
        </is>
      </c>
      <c r="B36" s="7" t="inlineStr">
        <is>
          <t>Obras Concluídas (marco)</t>
        </is>
      </c>
      <c r="C36" s="7" t="n">
        <v>0</v>
      </c>
      <c r="D36" s="8" t="n">
        <v>46492</v>
      </c>
      <c r="E36" s="8" t="n">
        <v>46492</v>
      </c>
      <c r="F36" s="7" t="n">
        <v>91979</v>
      </c>
      <c r="G36" s="7" t="inlineStr">
        <is>
          <t>RL</t>
        </is>
      </c>
    </row>
    <row r="37">
      <c r="A37" t="inlineStr">
        <is>
          <t>1.4.3</t>
        </is>
      </c>
      <c r="B37" t="inlineStr">
        <is>
          <t>Fiscalização</t>
        </is>
      </c>
      <c r="C37" t="n">
        <v>12</v>
      </c>
      <c r="D37" s="6" t="n">
        <v>46493</v>
      </c>
      <c r="E37" s="6" t="n">
        <v>46505</v>
      </c>
      <c r="F37" t="n">
        <v>91979</v>
      </c>
      <c r="G37" t="inlineStr">
        <is>
          <t>RL</t>
        </is>
      </c>
    </row>
    <row r="38">
      <c r="A38" t="inlineStr">
        <is>
          <t>1.4.4</t>
        </is>
      </c>
      <c r="B38" t="inlineStr">
        <is>
          <t>Cadastro EO / Integração parcial</t>
        </is>
      </c>
      <c r="C38" t="n">
        <v>10</v>
      </c>
      <c r="D38" s="6" t="n">
        <v>46506</v>
      </c>
      <c r="E38" s="6" t="n">
        <v>46516</v>
      </c>
      <c r="F38" t="n">
        <v>91979</v>
      </c>
      <c r="G38" t="inlineStr">
        <is>
          <t>RL</t>
        </is>
      </c>
    </row>
    <row r="39">
      <c r="A39" t="inlineStr">
        <is>
          <t>1.4.5</t>
        </is>
      </c>
      <c r="B39" t="inlineStr">
        <is>
          <t>Entrega do TCI pela empreiteira / Integração final</t>
        </is>
      </c>
      <c r="C39" t="n">
        <v>15</v>
      </c>
      <c r="D39" s="6" t="n">
        <v>46517</v>
      </c>
      <c r="E39" s="6" t="n">
        <v>46532</v>
      </c>
      <c r="F39" t="n">
        <v>91979</v>
      </c>
      <c r="G39" t="inlineStr">
        <is>
          <t>RL</t>
        </is>
      </c>
    </row>
    <row r="40">
      <c r="A40" t="inlineStr">
        <is>
          <t>1.4.6</t>
        </is>
      </c>
      <c r="B40" t="inlineStr">
        <is>
          <t>Abertura de chamado / Atendimento GAT</t>
        </is>
      </c>
      <c r="C40" t="n">
        <v>8</v>
      </c>
      <c r="D40" s="6" t="n">
        <v>46517</v>
      </c>
      <c r="E40" s="6" t="n">
        <v>46525</v>
      </c>
      <c r="F40" t="n">
        <v>91979</v>
      </c>
      <c r="G40" t="inlineStr">
        <is>
          <t>RL</t>
        </is>
      </c>
    </row>
    <row r="41">
      <c r="A41" t="inlineStr">
        <is>
          <t>1.4.7</t>
        </is>
      </c>
      <c r="B41" t="inlineStr">
        <is>
          <t>Comissionar Equipamentos</t>
        </is>
      </c>
      <c r="C41" t="n">
        <v>15</v>
      </c>
      <c r="D41" s="6" t="n">
        <v>46517</v>
      </c>
      <c r="E41" s="6" t="n">
        <v>46532</v>
      </c>
      <c r="F41" t="n">
        <v>91979</v>
      </c>
      <c r="G41" t="inlineStr">
        <is>
          <t>RL</t>
        </is>
      </c>
    </row>
    <row r="42">
      <c r="A42" s="7" t="inlineStr">
        <is>
          <t>1.4.8</t>
        </is>
      </c>
      <c r="B42" s="7" t="inlineStr">
        <is>
          <t>Equipamentos em Operação / Energização (marco)</t>
        </is>
      </c>
      <c r="C42" s="7" t="n">
        <v>0</v>
      </c>
      <c r="D42" s="8" t="n">
        <v>46532</v>
      </c>
      <c r="E42" s="8" t="n">
        <v>46532</v>
      </c>
      <c r="F42" s="7" t="n">
        <v>91979</v>
      </c>
      <c r="G42" s="7" t="inlineStr">
        <is>
          <t>RL</t>
        </is>
      </c>
    </row>
    <row r="43">
      <c r="A43" t="inlineStr">
        <is>
          <t>1.4.9</t>
        </is>
      </c>
      <c r="B43" t="inlineStr">
        <is>
          <t>Encerramento Técnico</t>
        </is>
      </c>
      <c r="C43" t="n">
        <v>7</v>
      </c>
      <c r="D43" s="6" t="n">
        <v>46533</v>
      </c>
      <c r="E43" s="6" t="n">
        <v>46541</v>
      </c>
      <c r="F43" t="n">
        <v>91979</v>
      </c>
      <c r="G43" t="inlineStr">
        <is>
          <t>RL</t>
        </is>
      </c>
    </row>
    <row r="44">
      <c r="A44" t="inlineStr">
        <is>
          <t>1.4.10</t>
        </is>
      </c>
      <c r="B44" t="inlineStr">
        <is>
          <t>Encerramento Contábil</t>
        </is>
      </c>
      <c r="C44" t="n">
        <v>3</v>
      </c>
      <c r="D44" s="6" t="n">
        <v>46542</v>
      </c>
      <c r="E44" s="6" t="n">
        <v>46546</v>
      </c>
      <c r="F44" t="n">
        <v>91979</v>
      </c>
      <c r="G44" t="inlineStr">
        <is>
          <t>RL</t>
        </is>
      </c>
    </row>
    <row r="45">
      <c r="A45" s="4" t="inlineStr">
        <is>
          <t>1.5</t>
        </is>
      </c>
      <c r="B45" s="4" t="inlineStr">
        <is>
          <t>BLOCO 5 - 92118 - QS-4 de Araguaína IV - Instalação de 1 RL 13,8 kV</t>
        </is>
      </c>
      <c r="C45" s="4" t="n">
        <v>84</v>
      </c>
      <c r="D45" s="5" t="n">
        <v>46462</v>
      </c>
      <c r="E45" s="5" t="n">
        <v>46546</v>
      </c>
      <c r="F45" s="4" t="n">
        <v>92118</v>
      </c>
      <c r="G45" s="4" t="inlineStr">
        <is>
          <t>RL</t>
        </is>
      </c>
    </row>
    <row r="46">
      <c r="A46" t="inlineStr">
        <is>
          <t>1.5.1</t>
        </is>
      </c>
      <c r="B46" t="inlineStr">
        <is>
          <t>Executar Obras</t>
        </is>
      </c>
      <c r="C46" t="n">
        <v>30</v>
      </c>
      <c r="D46" s="6" t="n">
        <v>46462</v>
      </c>
      <c r="E46" s="6" t="n">
        <v>46492</v>
      </c>
      <c r="F46" t="n">
        <v>92118</v>
      </c>
      <c r="G46" t="inlineStr">
        <is>
          <t>RL</t>
        </is>
      </c>
    </row>
    <row r="47">
      <c r="A47" s="7" t="inlineStr">
        <is>
          <t>1.5.2</t>
        </is>
      </c>
      <c r="B47" s="7" t="inlineStr">
        <is>
          <t>Obras Concluídas (marco)</t>
        </is>
      </c>
      <c r="C47" s="7" t="n">
        <v>0</v>
      </c>
      <c r="D47" s="8" t="n">
        <v>46492</v>
      </c>
      <c r="E47" s="8" t="n">
        <v>46492</v>
      </c>
      <c r="F47" s="7" t="n">
        <v>92118</v>
      </c>
      <c r="G47" s="7" t="inlineStr">
        <is>
          <t>RL</t>
        </is>
      </c>
    </row>
    <row r="48">
      <c r="A48" t="inlineStr">
        <is>
          <t>1.5.3</t>
        </is>
      </c>
      <c r="B48" t="inlineStr">
        <is>
          <t>Fiscalização</t>
        </is>
      </c>
      <c r="C48" t="n">
        <v>12</v>
      </c>
      <c r="D48" s="6" t="n">
        <v>46493</v>
      </c>
      <c r="E48" s="6" t="n">
        <v>46505</v>
      </c>
      <c r="F48" t="n">
        <v>92118</v>
      </c>
      <c r="G48" t="inlineStr">
        <is>
          <t>RL</t>
        </is>
      </c>
    </row>
    <row r="49">
      <c r="A49" t="inlineStr">
        <is>
          <t>1.5.4</t>
        </is>
      </c>
      <c r="B49" t="inlineStr">
        <is>
          <t>Cadastro EO / Integração parcial</t>
        </is>
      </c>
      <c r="C49" t="n">
        <v>10</v>
      </c>
      <c r="D49" s="6" t="n">
        <v>46506</v>
      </c>
      <c r="E49" s="6" t="n">
        <v>46516</v>
      </c>
      <c r="F49" t="n">
        <v>92118</v>
      </c>
      <c r="G49" t="inlineStr">
        <is>
          <t>RL</t>
        </is>
      </c>
    </row>
    <row r="50">
      <c r="A50" t="inlineStr">
        <is>
          <t>1.5.5</t>
        </is>
      </c>
      <c r="B50" t="inlineStr">
        <is>
          <t>Entrega do TCI pela empreiteira / Integração final</t>
        </is>
      </c>
      <c r="C50" t="n">
        <v>15</v>
      </c>
      <c r="D50" s="6" t="n">
        <v>46517</v>
      </c>
      <c r="E50" s="6" t="n">
        <v>46532</v>
      </c>
      <c r="F50" t="n">
        <v>92118</v>
      </c>
      <c r="G50" t="inlineStr">
        <is>
          <t>RL</t>
        </is>
      </c>
    </row>
    <row r="51">
      <c r="A51" t="inlineStr">
        <is>
          <t>1.5.6</t>
        </is>
      </c>
      <c r="B51" t="inlineStr">
        <is>
          <t>Abertura de chamado / Atendimento GAT</t>
        </is>
      </c>
      <c r="C51" t="n">
        <v>8</v>
      </c>
      <c r="D51" s="6" t="n">
        <v>46517</v>
      </c>
      <c r="E51" s="6" t="n">
        <v>46525</v>
      </c>
      <c r="F51" t="n">
        <v>92118</v>
      </c>
      <c r="G51" t="inlineStr">
        <is>
          <t>RL</t>
        </is>
      </c>
    </row>
    <row r="52">
      <c r="A52" t="inlineStr">
        <is>
          <t>1.5.7</t>
        </is>
      </c>
      <c r="B52" t="inlineStr">
        <is>
          <t>Comissionar Equipamentos</t>
        </is>
      </c>
      <c r="C52" t="n">
        <v>15</v>
      </c>
      <c r="D52" s="6" t="n">
        <v>46517</v>
      </c>
      <c r="E52" s="6" t="n">
        <v>46532</v>
      </c>
      <c r="F52" t="n">
        <v>92118</v>
      </c>
      <c r="G52" t="inlineStr">
        <is>
          <t>RL</t>
        </is>
      </c>
    </row>
    <row r="53">
      <c r="A53" s="7" t="inlineStr">
        <is>
          <t>1.5.8</t>
        </is>
      </c>
      <c r="B53" s="7" t="inlineStr">
        <is>
          <t>Equipamentos em Operação / Energização (marco)</t>
        </is>
      </c>
      <c r="C53" s="7" t="n">
        <v>0</v>
      </c>
      <c r="D53" s="8" t="n">
        <v>46532</v>
      </c>
      <c r="E53" s="8" t="n">
        <v>46532</v>
      </c>
      <c r="F53" s="7" t="n">
        <v>92118</v>
      </c>
      <c r="G53" s="7" t="inlineStr">
        <is>
          <t>RL</t>
        </is>
      </c>
    </row>
    <row r="54">
      <c r="A54" t="inlineStr">
        <is>
          <t>1.5.9</t>
        </is>
      </c>
      <c r="B54" t="inlineStr">
        <is>
          <t>Encerramento Técnico</t>
        </is>
      </c>
      <c r="C54" t="n">
        <v>7</v>
      </c>
      <c r="D54" s="6" t="n">
        <v>46533</v>
      </c>
      <c r="E54" s="6" t="n">
        <v>46541</v>
      </c>
      <c r="F54" t="n">
        <v>92118</v>
      </c>
      <c r="G54" t="inlineStr">
        <is>
          <t>RL</t>
        </is>
      </c>
    </row>
    <row r="55">
      <c r="A55" t="inlineStr">
        <is>
          <t>1.5.10</t>
        </is>
      </c>
      <c r="B55" t="inlineStr">
        <is>
          <t>Encerramento Contábil</t>
        </is>
      </c>
      <c r="C55" t="n">
        <v>3</v>
      </c>
      <c r="D55" s="6" t="n">
        <v>46542</v>
      </c>
      <c r="E55" s="6" t="n">
        <v>46546</v>
      </c>
      <c r="F55" t="n">
        <v>92118</v>
      </c>
      <c r="G55" t="inlineStr">
        <is>
          <t>RL</t>
        </is>
      </c>
    </row>
    <row r="56">
      <c r="A56" s="4" t="inlineStr">
        <is>
          <t>1.6</t>
        </is>
      </c>
      <c r="B56" s="4" t="inlineStr">
        <is>
          <t>BLOCO 6 - 70838 - LD Cristalândia - Lagoa da Confusão - Instalação de 1 RT 34,5 kV</t>
        </is>
      </c>
      <c r="C56" s="4" t="n">
        <v>84</v>
      </c>
      <c r="D56" s="5" t="n">
        <v>46497</v>
      </c>
      <c r="E56" s="5" t="n">
        <v>46581</v>
      </c>
      <c r="F56" s="4" t="n">
        <v>70838</v>
      </c>
      <c r="G56" s="4" t="inlineStr">
        <is>
          <t>RT</t>
        </is>
      </c>
    </row>
    <row r="57">
      <c r="A57" t="inlineStr">
        <is>
          <t>1.6.1</t>
        </is>
      </c>
      <c r="B57" t="inlineStr">
        <is>
          <t>Executar Obras</t>
        </is>
      </c>
      <c r="C57" t="n">
        <v>30</v>
      </c>
      <c r="D57" s="6" t="n">
        <v>46497</v>
      </c>
      <c r="E57" s="6" t="n">
        <v>46527</v>
      </c>
      <c r="F57" t="n">
        <v>70838</v>
      </c>
      <c r="G57" t="inlineStr">
        <is>
          <t>RT</t>
        </is>
      </c>
    </row>
    <row r="58">
      <c r="A58" s="7" t="inlineStr">
        <is>
          <t>1.6.2</t>
        </is>
      </c>
      <c r="B58" s="7" t="inlineStr">
        <is>
          <t>Obras Concluídas (marco)</t>
        </is>
      </c>
      <c r="C58" s="7" t="n">
        <v>0</v>
      </c>
      <c r="D58" s="8" t="n">
        <v>46527</v>
      </c>
      <c r="E58" s="8" t="n">
        <v>46527</v>
      </c>
      <c r="F58" s="7" t="n">
        <v>70838</v>
      </c>
      <c r="G58" s="7" t="inlineStr">
        <is>
          <t>RT</t>
        </is>
      </c>
    </row>
    <row r="59">
      <c r="A59" t="inlineStr">
        <is>
          <t>1.6.3</t>
        </is>
      </c>
      <c r="B59" t="inlineStr">
        <is>
          <t>Fiscalização</t>
        </is>
      </c>
      <c r="C59" t="n">
        <v>12</v>
      </c>
      <c r="D59" s="6" t="n">
        <v>46528</v>
      </c>
      <c r="E59" s="6" t="n">
        <v>46540</v>
      </c>
      <c r="F59" t="n">
        <v>70838</v>
      </c>
      <c r="G59" t="inlineStr">
        <is>
          <t>RT</t>
        </is>
      </c>
    </row>
    <row r="60">
      <c r="A60" t="inlineStr">
        <is>
          <t>1.6.4</t>
        </is>
      </c>
      <c r="B60" t="inlineStr">
        <is>
          <t>Cadastro EO / Integração parcial</t>
        </is>
      </c>
      <c r="C60" t="n">
        <v>10</v>
      </c>
      <c r="D60" s="6" t="n">
        <v>46541</v>
      </c>
      <c r="E60" s="6" t="n">
        <v>46551</v>
      </c>
      <c r="F60" t="n">
        <v>70838</v>
      </c>
      <c r="G60" t="inlineStr">
        <is>
          <t>RT</t>
        </is>
      </c>
    </row>
    <row r="61">
      <c r="A61" t="inlineStr">
        <is>
          <t>1.6.5</t>
        </is>
      </c>
      <c r="B61" t="inlineStr">
        <is>
          <t>Entrega do TCI pela empreiteira / Integração final</t>
        </is>
      </c>
      <c r="C61" t="n">
        <v>15</v>
      </c>
      <c r="D61" s="6" t="n">
        <v>46552</v>
      </c>
      <c r="E61" s="6" t="n">
        <v>46567</v>
      </c>
      <c r="F61" t="n">
        <v>70838</v>
      </c>
      <c r="G61" t="inlineStr">
        <is>
          <t>RT</t>
        </is>
      </c>
    </row>
    <row r="62">
      <c r="A62" t="inlineStr">
        <is>
          <t>1.6.6</t>
        </is>
      </c>
      <c r="B62" t="inlineStr">
        <is>
          <t>Comissionar Equipamentos</t>
        </is>
      </c>
      <c r="C62" t="n">
        <v>15</v>
      </c>
      <c r="D62" s="6" t="n">
        <v>46552</v>
      </c>
      <c r="E62" s="6" t="n">
        <v>46567</v>
      </c>
      <c r="F62" t="n">
        <v>70838</v>
      </c>
      <c r="G62" t="inlineStr">
        <is>
          <t>RT</t>
        </is>
      </c>
    </row>
    <row r="63">
      <c r="A63" s="7" t="inlineStr">
        <is>
          <t>1.6.7</t>
        </is>
      </c>
      <c r="B63" s="7" t="inlineStr">
        <is>
          <t>Equipamentos em Operação / Energização (marco)</t>
        </is>
      </c>
      <c r="C63" s="7" t="n">
        <v>0</v>
      </c>
      <c r="D63" s="8" t="n">
        <v>46567</v>
      </c>
      <c r="E63" s="8" t="n">
        <v>46567</v>
      </c>
      <c r="F63" s="7" t="n">
        <v>70838</v>
      </c>
      <c r="G63" s="7" t="inlineStr">
        <is>
          <t>RT</t>
        </is>
      </c>
    </row>
    <row r="64">
      <c r="A64" t="inlineStr">
        <is>
          <t>1.6.8</t>
        </is>
      </c>
      <c r="B64" t="inlineStr">
        <is>
          <t>Encerramento Técnico</t>
        </is>
      </c>
      <c r="C64" t="n">
        <v>7</v>
      </c>
      <c r="D64" s="6" t="n">
        <v>46568</v>
      </c>
      <c r="E64" s="6" t="n">
        <v>46576</v>
      </c>
      <c r="F64" t="n">
        <v>70838</v>
      </c>
      <c r="G64" t="inlineStr">
        <is>
          <t>RT</t>
        </is>
      </c>
    </row>
    <row r="65">
      <c r="A65" t="inlineStr">
        <is>
          <t>1.6.9</t>
        </is>
      </c>
      <c r="B65" t="inlineStr">
        <is>
          <t>Encerramento Contábil</t>
        </is>
      </c>
      <c r="C65" t="n">
        <v>3</v>
      </c>
      <c r="D65" s="6" t="n">
        <v>46577</v>
      </c>
      <c r="E65" s="6" t="n">
        <v>46581</v>
      </c>
      <c r="F65" t="n">
        <v>70838</v>
      </c>
      <c r="G65" t="inlineStr">
        <is>
          <t>RT</t>
        </is>
      </c>
    </row>
    <row r="66">
      <c r="A66" s="4" t="inlineStr">
        <is>
          <t>1.7</t>
        </is>
      </c>
      <c r="B66" s="4" t="inlineStr">
        <is>
          <t>BLOCO 7 - 70978 - LD Paraíso I - Caseara - 2PR0 - Instalação de 1 RT 34,5 kV</t>
        </is>
      </c>
      <c r="C66" s="4" t="n">
        <v>84</v>
      </c>
      <c r="D66" s="5" t="n">
        <v>46497</v>
      </c>
      <c r="E66" s="5" t="n">
        <v>46581</v>
      </c>
      <c r="F66" s="4" t="n">
        <v>70978</v>
      </c>
      <c r="G66" s="4" t="inlineStr">
        <is>
          <t>RT</t>
        </is>
      </c>
    </row>
    <row r="67">
      <c r="A67" t="inlineStr">
        <is>
          <t>1.7.1</t>
        </is>
      </c>
      <c r="B67" t="inlineStr">
        <is>
          <t>Executar Obras</t>
        </is>
      </c>
      <c r="C67" t="n">
        <v>30</v>
      </c>
      <c r="D67" s="6" t="n">
        <v>46497</v>
      </c>
      <c r="E67" s="6" t="n">
        <v>46527</v>
      </c>
      <c r="F67" t="n">
        <v>70978</v>
      </c>
      <c r="G67" t="inlineStr">
        <is>
          <t>RT</t>
        </is>
      </c>
    </row>
    <row r="68">
      <c r="A68" s="7" t="inlineStr">
        <is>
          <t>1.7.2</t>
        </is>
      </c>
      <c r="B68" s="7" t="inlineStr">
        <is>
          <t>Obras Concluídas (marco)</t>
        </is>
      </c>
      <c r="C68" s="7" t="n">
        <v>0</v>
      </c>
      <c r="D68" s="8" t="n">
        <v>46527</v>
      </c>
      <c r="E68" s="8" t="n">
        <v>46527</v>
      </c>
      <c r="F68" s="7" t="n">
        <v>70978</v>
      </c>
      <c r="G68" s="7" t="inlineStr">
        <is>
          <t>RT</t>
        </is>
      </c>
    </row>
    <row r="69">
      <c r="A69" t="inlineStr">
        <is>
          <t>1.7.3</t>
        </is>
      </c>
      <c r="B69" t="inlineStr">
        <is>
          <t>Fiscalização</t>
        </is>
      </c>
      <c r="C69" t="n">
        <v>12</v>
      </c>
      <c r="D69" s="6" t="n">
        <v>46528</v>
      </c>
      <c r="E69" s="6" t="n">
        <v>46540</v>
      </c>
      <c r="F69" t="n">
        <v>70978</v>
      </c>
      <c r="G69" t="inlineStr">
        <is>
          <t>RT</t>
        </is>
      </c>
    </row>
    <row r="70">
      <c r="A70" t="inlineStr">
        <is>
          <t>1.7.4</t>
        </is>
      </c>
      <c r="B70" t="inlineStr">
        <is>
          <t>Cadastro EO / Integração parcial</t>
        </is>
      </c>
      <c r="C70" t="n">
        <v>10</v>
      </c>
      <c r="D70" s="6" t="n">
        <v>46541</v>
      </c>
      <c r="E70" s="6" t="n">
        <v>46551</v>
      </c>
      <c r="F70" t="n">
        <v>70978</v>
      </c>
      <c r="G70" t="inlineStr">
        <is>
          <t>RT</t>
        </is>
      </c>
    </row>
    <row r="71">
      <c r="A71" t="inlineStr">
        <is>
          <t>1.7.5</t>
        </is>
      </c>
      <c r="B71" t="inlineStr">
        <is>
          <t>Entrega do TCI pela empreiteira / Integração final</t>
        </is>
      </c>
      <c r="C71" t="n">
        <v>15</v>
      </c>
      <c r="D71" s="6" t="n">
        <v>46552</v>
      </c>
      <c r="E71" s="6" t="n">
        <v>46567</v>
      </c>
      <c r="F71" t="n">
        <v>70978</v>
      </c>
      <c r="G71" t="inlineStr">
        <is>
          <t>RT</t>
        </is>
      </c>
    </row>
    <row r="72">
      <c r="A72" t="inlineStr">
        <is>
          <t>1.7.6</t>
        </is>
      </c>
      <c r="B72" t="inlineStr">
        <is>
          <t>Comissionar Equipamentos</t>
        </is>
      </c>
      <c r="C72" t="n">
        <v>15</v>
      </c>
      <c r="D72" s="6" t="n">
        <v>46552</v>
      </c>
      <c r="E72" s="6" t="n">
        <v>46567</v>
      </c>
      <c r="F72" t="n">
        <v>70978</v>
      </c>
      <c r="G72" t="inlineStr">
        <is>
          <t>RT</t>
        </is>
      </c>
    </row>
    <row r="73">
      <c r="A73" s="7" t="inlineStr">
        <is>
          <t>1.7.7</t>
        </is>
      </c>
      <c r="B73" s="7" t="inlineStr">
        <is>
          <t>Equipamentos em Operação / Energização (marco)</t>
        </is>
      </c>
      <c r="C73" s="7" t="n">
        <v>0</v>
      </c>
      <c r="D73" s="8" t="n">
        <v>46567</v>
      </c>
      <c r="E73" s="8" t="n">
        <v>46567</v>
      </c>
      <c r="F73" s="7" t="n">
        <v>70978</v>
      </c>
      <c r="G73" s="7" t="inlineStr">
        <is>
          <t>RT</t>
        </is>
      </c>
    </row>
    <row r="74">
      <c r="A74" t="inlineStr">
        <is>
          <t>1.7.8</t>
        </is>
      </c>
      <c r="B74" t="inlineStr">
        <is>
          <t>Encerramento Técnico</t>
        </is>
      </c>
      <c r="C74" t="n">
        <v>7</v>
      </c>
      <c r="D74" s="6" t="n">
        <v>46568</v>
      </c>
      <c r="E74" s="6" t="n">
        <v>46576</v>
      </c>
      <c r="F74" t="n">
        <v>70978</v>
      </c>
      <c r="G74" t="inlineStr">
        <is>
          <t>RT</t>
        </is>
      </c>
    </row>
    <row r="75">
      <c r="A75" t="inlineStr">
        <is>
          <t>1.7.9</t>
        </is>
      </c>
      <c r="B75" t="inlineStr">
        <is>
          <t>Encerramento Contábil</t>
        </is>
      </c>
      <c r="C75" t="n">
        <v>3</v>
      </c>
      <c r="D75" s="6" t="n">
        <v>46577</v>
      </c>
      <c r="E75" s="6" t="n">
        <v>46581</v>
      </c>
      <c r="F75" t="n">
        <v>70978</v>
      </c>
      <c r="G75" t="inlineStr">
        <is>
          <t>RT</t>
        </is>
      </c>
    </row>
    <row r="76">
      <c r="A76" s="4" t="inlineStr">
        <is>
          <t>1.8</t>
        </is>
      </c>
      <c r="B76" s="4" t="inlineStr">
        <is>
          <t>BLOCO 8 - 92094 - QS-LD Palmas - Aparecida do Rio Negro - Instalação de 3 RL 34,5 kV</t>
        </is>
      </c>
      <c r="C76" s="4" t="n">
        <v>84</v>
      </c>
      <c r="D76" s="5" t="n">
        <v>46497</v>
      </c>
      <c r="E76" s="5" t="n">
        <v>46581</v>
      </c>
      <c r="F76" s="4" t="n">
        <v>92094</v>
      </c>
      <c r="G76" s="4" t="inlineStr">
        <is>
          <t>RL</t>
        </is>
      </c>
    </row>
    <row r="77">
      <c r="A77" t="inlineStr">
        <is>
          <t>1.8.1</t>
        </is>
      </c>
      <c r="B77" t="inlineStr">
        <is>
          <t>Executar Obras</t>
        </is>
      </c>
      <c r="C77" t="n">
        <v>30</v>
      </c>
      <c r="D77" s="6" t="n">
        <v>46497</v>
      </c>
      <c r="E77" s="6" t="n">
        <v>46527</v>
      </c>
      <c r="F77" t="n">
        <v>92094</v>
      </c>
      <c r="G77" t="inlineStr">
        <is>
          <t>RL</t>
        </is>
      </c>
    </row>
    <row r="78">
      <c r="A78" s="7" t="inlineStr">
        <is>
          <t>1.8.2</t>
        </is>
      </c>
      <c r="B78" s="7" t="inlineStr">
        <is>
          <t>Obras Concluídas (marco)</t>
        </is>
      </c>
      <c r="C78" s="7" t="n">
        <v>0</v>
      </c>
      <c r="D78" s="8" t="n">
        <v>46527</v>
      </c>
      <c r="E78" s="8" t="n">
        <v>46527</v>
      </c>
      <c r="F78" s="7" t="n">
        <v>92094</v>
      </c>
      <c r="G78" s="7" t="inlineStr">
        <is>
          <t>RL</t>
        </is>
      </c>
    </row>
    <row r="79">
      <c r="A79" t="inlineStr">
        <is>
          <t>1.8.3</t>
        </is>
      </c>
      <c r="B79" t="inlineStr">
        <is>
          <t>Fiscalização</t>
        </is>
      </c>
      <c r="C79" t="n">
        <v>12</v>
      </c>
      <c r="D79" s="6" t="n">
        <v>46528</v>
      </c>
      <c r="E79" s="6" t="n">
        <v>46540</v>
      </c>
      <c r="F79" t="n">
        <v>92094</v>
      </c>
      <c r="G79" t="inlineStr">
        <is>
          <t>RL</t>
        </is>
      </c>
    </row>
    <row r="80">
      <c r="A80" t="inlineStr">
        <is>
          <t>1.8.4</t>
        </is>
      </c>
      <c r="B80" t="inlineStr">
        <is>
          <t>Cadastro EO / Integração parcial</t>
        </is>
      </c>
      <c r="C80" t="n">
        <v>10</v>
      </c>
      <c r="D80" s="6" t="n">
        <v>46541</v>
      </c>
      <c r="E80" s="6" t="n">
        <v>46551</v>
      </c>
      <c r="F80" t="n">
        <v>92094</v>
      </c>
      <c r="G80" t="inlineStr">
        <is>
          <t>RL</t>
        </is>
      </c>
    </row>
    <row r="81">
      <c r="A81" t="inlineStr">
        <is>
          <t>1.8.5</t>
        </is>
      </c>
      <c r="B81" t="inlineStr">
        <is>
          <t>Entrega do TCI pela empreiteira / Integração final</t>
        </is>
      </c>
      <c r="C81" t="n">
        <v>15</v>
      </c>
      <c r="D81" s="6" t="n">
        <v>46552</v>
      </c>
      <c r="E81" s="6" t="n">
        <v>46567</v>
      </c>
      <c r="F81" t="n">
        <v>92094</v>
      </c>
      <c r="G81" t="inlineStr">
        <is>
          <t>RL</t>
        </is>
      </c>
    </row>
    <row r="82">
      <c r="A82" t="inlineStr">
        <is>
          <t>1.8.6</t>
        </is>
      </c>
      <c r="B82" t="inlineStr">
        <is>
          <t>Abertura de chamado / Atendimento GAT</t>
        </is>
      </c>
      <c r="C82" t="n">
        <v>8</v>
      </c>
      <c r="D82" s="6" t="n">
        <v>46552</v>
      </c>
      <c r="E82" s="6" t="n">
        <v>46560</v>
      </c>
      <c r="F82" t="n">
        <v>92094</v>
      </c>
      <c r="G82" t="inlineStr">
        <is>
          <t>RL</t>
        </is>
      </c>
    </row>
    <row r="83">
      <c r="A83" t="inlineStr">
        <is>
          <t>1.8.7</t>
        </is>
      </c>
      <c r="B83" t="inlineStr">
        <is>
          <t>Comissionar Equipamentos</t>
        </is>
      </c>
      <c r="C83" t="n">
        <v>15</v>
      </c>
      <c r="D83" s="6" t="n">
        <v>46552</v>
      </c>
      <c r="E83" s="6" t="n">
        <v>46567</v>
      </c>
      <c r="F83" t="n">
        <v>92094</v>
      </c>
      <c r="G83" t="inlineStr">
        <is>
          <t>RL</t>
        </is>
      </c>
    </row>
    <row r="84">
      <c r="A84" s="7" t="inlineStr">
        <is>
          <t>1.8.8</t>
        </is>
      </c>
      <c r="B84" s="7" t="inlineStr">
        <is>
          <t>Equipamentos em Operação / Energização (marco)</t>
        </is>
      </c>
      <c r="C84" s="7" t="n">
        <v>0</v>
      </c>
      <c r="D84" s="8" t="n">
        <v>46567</v>
      </c>
      <c r="E84" s="8" t="n">
        <v>46567</v>
      </c>
      <c r="F84" s="7" t="n">
        <v>92094</v>
      </c>
      <c r="G84" s="7" t="inlineStr">
        <is>
          <t>RL</t>
        </is>
      </c>
    </row>
    <row r="85">
      <c r="A85" t="inlineStr">
        <is>
          <t>1.8.9</t>
        </is>
      </c>
      <c r="B85" t="inlineStr">
        <is>
          <t>Encerramento Técnico</t>
        </is>
      </c>
      <c r="C85" t="n">
        <v>7</v>
      </c>
      <c r="D85" s="6" t="n">
        <v>46568</v>
      </c>
      <c r="E85" s="6" t="n">
        <v>46576</v>
      </c>
      <c r="F85" t="n">
        <v>92094</v>
      </c>
      <c r="G85" t="inlineStr">
        <is>
          <t>RL</t>
        </is>
      </c>
    </row>
    <row r="86">
      <c r="A86" t="inlineStr">
        <is>
          <t>1.8.10</t>
        </is>
      </c>
      <c r="B86" t="inlineStr">
        <is>
          <t>Encerramento Contábil</t>
        </is>
      </c>
      <c r="C86" t="n">
        <v>3</v>
      </c>
      <c r="D86" s="6" t="n">
        <v>46577</v>
      </c>
      <c r="E86" s="6" t="n">
        <v>46581</v>
      </c>
      <c r="F86" t="n">
        <v>92094</v>
      </c>
      <c r="G86" t="inlineStr">
        <is>
          <t>RL</t>
        </is>
      </c>
    </row>
    <row r="87">
      <c r="A87" s="4" t="inlineStr">
        <is>
          <t>1.9</t>
        </is>
      </c>
      <c r="B87" s="4" t="inlineStr">
        <is>
          <t>BLOCO 9 - 92095 - QS-LD Palmas - Lajeado - Instalação de 1 RL 34,5 kV</t>
        </is>
      </c>
      <c r="C87" s="4" t="n">
        <v>84</v>
      </c>
      <c r="D87" s="5" t="n">
        <v>46497</v>
      </c>
      <c r="E87" s="5" t="n">
        <v>46581</v>
      </c>
      <c r="F87" s="4" t="n">
        <v>92095</v>
      </c>
      <c r="G87" s="4" t="inlineStr">
        <is>
          <t>RL</t>
        </is>
      </c>
    </row>
    <row r="88">
      <c r="A88" t="inlineStr">
        <is>
          <t>1.9.1</t>
        </is>
      </c>
      <c r="B88" t="inlineStr">
        <is>
          <t>Executar Obras</t>
        </is>
      </c>
      <c r="C88" t="n">
        <v>30</v>
      </c>
      <c r="D88" s="6" t="n">
        <v>46497</v>
      </c>
      <c r="E88" s="6" t="n">
        <v>46527</v>
      </c>
      <c r="F88" t="n">
        <v>92095</v>
      </c>
      <c r="G88" t="inlineStr">
        <is>
          <t>RL</t>
        </is>
      </c>
    </row>
    <row r="89">
      <c r="A89" s="7" t="inlineStr">
        <is>
          <t>1.9.2</t>
        </is>
      </c>
      <c r="B89" s="7" t="inlineStr">
        <is>
          <t>Obras Concluídas (marco)</t>
        </is>
      </c>
      <c r="C89" s="7" t="n">
        <v>0</v>
      </c>
      <c r="D89" s="8" t="n">
        <v>46527</v>
      </c>
      <c r="E89" s="8" t="n">
        <v>46527</v>
      </c>
      <c r="F89" s="7" t="n">
        <v>92095</v>
      </c>
      <c r="G89" s="7" t="inlineStr">
        <is>
          <t>RL</t>
        </is>
      </c>
    </row>
    <row r="90">
      <c r="A90" t="inlineStr">
        <is>
          <t>1.9.3</t>
        </is>
      </c>
      <c r="B90" t="inlineStr">
        <is>
          <t>Fiscalização</t>
        </is>
      </c>
      <c r="C90" t="n">
        <v>12</v>
      </c>
      <c r="D90" s="6" t="n">
        <v>46528</v>
      </c>
      <c r="E90" s="6" t="n">
        <v>46540</v>
      </c>
      <c r="F90" t="n">
        <v>92095</v>
      </c>
      <c r="G90" t="inlineStr">
        <is>
          <t>RL</t>
        </is>
      </c>
    </row>
    <row r="91">
      <c r="A91" t="inlineStr">
        <is>
          <t>1.9.4</t>
        </is>
      </c>
      <c r="B91" t="inlineStr">
        <is>
          <t>Cadastro EO / Integração parcial</t>
        </is>
      </c>
      <c r="C91" t="n">
        <v>10</v>
      </c>
      <c r="D91" s="6" t="n">
        <v>46541</v>
      </c>
      <c r="E91" s="6" t="n">
        <v>46551</v>
      </c>
      <c r="F91" t="n">
        <v>92095</v>
      </c>
      <c r="G91" t="inlineStr">
        <is>
          <t>RL</t>
        </is>
      </c>
    </row>
    <row r="92">
      <c r="A92" t="inlineStr">
        <is>
          <t>1.9.5</t>
        </is>
      </c>
      <c r="B92" t="inlineStr">
        <is>
          <t>Entrega do TCI pela empreiteira / Integração final</t>
        </is>
      </c>
      <c r="C92" t="n">
        <v>15</v>
      </c>
      <c r="D92" s="6" t="n">
        <v>46552</v>
      </c>
      <c r="E92" s="6" t="n">
        <v>46567</v>
      </c>
      <c r="F92" t="n">
        <v>92095</v>
      </c>
      <c r="G92" t="inlineStr">
        <is>
          <t>RL</t>
        </is>
      </c>
    </row>
    <row r="93">
      <c r="A93" t="inlineStr">
        <is>
          <t>1.9.6</t>
        </is>
      </c>
      <c r="B93" t="inlineStr">
        <is>
          <t>Abertura de chamado / Atendimento GAT</t>
        </is>
      </c>
      <c r="C93" t="n">
        <v>8</v>
      </c>
      <c r="D93" s="6" t="n">
        <v>46552</v>
      </c>
      <c r="E93" s="6" t="n">
        <v>46560</v>
      </c>
      <c r="F93" t="n">
        <v>92095</v>
      </c>
      <c r="G93" t="inlineStr">
        <is>
          <t>RL</t>
        </is>
      </c>
    </row>
    <row r="94">
      <c r="A94" t="inlineStr">
        <is>
          <t>1.9.7</t>
        </is>
      </c>
      <c r="B94" t="inlineStr">
        <is>
          <t>Comissionar Equipamentos</t>
        </is>
      </c>
      <c r="C94" t="n">
        <v>15</v>
      </c>
      <c r="D94" s="6" t="n">
        <v>46552</v>
      </c>
      <c r="E94" s="6" t="n">
        <v>46567</v>
      </c>
      <c r="F94" t="n">
        <v>92095</v>
      </c>
      <c r="G94" t="inlineStr">
        <is>
          <t>RL</t>
        </is>
      </c>
    </row>
    <row r="95">
      <c r="A95" s="7" t="inlineStr">
        <is>
          <t>1.9.8</t>
        </is>
      </c>
      <c r="B95" s="7" t="inlineStr">
        <is>
          <t>Equipamentos em Operação / Energização (marco)</t>
        </is>
      </c>
      <c r="C95" s="7" t="n">
        <v>0</v>
      </c>
      <c r="D95" s="8" t="n">
        <v>46567</v>
      </c>
      <c r="E95" s="8" t="n">
        <v>46567</v>
      </c>
      <c r="F95" s="7" t="n">
        <v>92095</v>
      </c>
      <c r="G95" s="7" t="inlineStr">
        <is>
          <t>RL</t>
        </is>
      </c>
    </row>
    <row r="96">
      <c r="A96" t="inlineStr">
        <is>
          <t>1.9.9</t>
        </is>
      </c>
      <c r="B96" t="inlineStr">
        <is>
          <t>Encerramento Técnico</t>
        </is>
      </c>
      <c r="C96" t="n">
        <v>7</v>
      </c>
      <c r="D96" s="6" t="n">
        <v>46568</v>
      </c>
      <c r="E96" s="6" t="n">
        <v>46576</v>
      </c>
      <c r="F96" t="n">
        <v>92095</v>
      </c>
      <c r="G96" t="inlineStr">
        <is>
          <t>RL</t>
        </is>
      </c>
    </row>
    <row r="97">
      <c r="A97" t="inlineStr">
        <is>
          <t>1.9.10</t>
        </is>
      </c>
      <c r="B97" t="inlineStr">
        <is>
          <t>Encerramento Contábil</t>
        </is>
      </c>
      <c r="C97" t="n">
        <v>3</v>
      </c>
      <c r="D97" s="6" t="n">
        <v>46577</v>
      </c>
      <c r="E97" s="6" t="n">
        <v>46581</v>
      </c>
      <c r="F97" t="n">
        <v>92095</v>
      </c>
      <c r="G97" t="inlineStr">
        <is>
          <t>RL</t>
        </is>
      </c>
    </row>
    <row r="98">
      <c r="A98" s="4" t="inlineStr">
        <is>
          <t>1.10</t>
        </is>
      </c>
      <c r="B98" s="4" t="inlineStr">
        <is>
          <t>BLOCO 10 - 92101 - QS-8 de Palmas IV - Instalação de 1 RL 13,8 kV</t>
        </is>
      </c>
      <c r="C98" s="4" t="n">
        <v>84</v>
      </c>
      <c r="D98" s="5" t="n">
        <v>46497</v>
      </c>
      <c r="E98" s="5" t="n">
        <v>46581</v>
      </c>
      <c r="F98" s="4" t="n">
        <v>92101</v>
      </c>
      <c r="G98" s="4" t="inlineStr">
        <is>
          <t>RL</t>
        </is>
      </c>
    </row>
    <row r="99">
      <c r="A99" t="inlineStr">
        <is>
          <t>1.10.1</t>
        </is>
      </c>
      <c r="B99" t="inlineStr">
        <is>
          <t>Executar Obras</t>
        </is>
      </c>
      <c r="C99" t="n">
        <v>30</v>
      </c>
      <c r="D99" s="6" t="n">
        <v>46497</v>
      </c>
      <c r="E99" s="6" t="n">
        <v>46527</v>
      </c>
      <c r="F99" t="n">
        <v>92101</v>
      </c>
      <c r="G99" t="inlineStr">
        <is>
          <t>RL</t>
        </is>
      </c>
    </row>
    <row r="100">
      <c r="A100" s="7" t="inlineStr">
        <is>
          <t>1.10.2</t>
        </is>
      </c>
      <c r="B100" s="7" t="inlineStr">
        <is>
          <t>Obras Concluídas (marco)</t>
        </is>
      </c>
      <c r="C100" s="7" t="n">
        <v>0</v>
      </c>
      <c r="D100" s="8" t="n">
        <v>46527</v>
      </c>
      <c r="E100" s="8" t="n">
        <v>46527</v>
      </c>
      <c r="F100" s="7" t="n">
        <v>92101</v>
      </c>
      <c r="G100" s="7" t="inlineStr">
        <is>
          <t>RL</t>
        </is>
      </c>
    </row>
    <row r="101">
      <c r="A101" t="inlineStr">
        <is>
          <t>1.10.3</t>
        </is>
      </c>
      <c r="B101" t="inlineStr">
        <is>
          <t>Fiscalização</t>
        </is>
      </c>
      <c r="C101" t="n">
        <v>12</v>
      </c>
      <c r="D101" s="6" t="n">
        <v>46528</v>
      </c>
      <c r="E101" s="6" t="n">
        <v>46540</v>
      </c>
      <c r="F101" t="n">
        <v>92101</v>
      </c>
      <c r="G101" t="inlineStr">
        <is>
          <t>RL</t>
        </is>
      </c>
    </row>
    <row r="102">
      <c r="A102" t="inlineStr">
        <is>
          <t>1.10.4</t>
        </is>
      </c>
      <c r="B102" t="inlineStr">
        <is>
          <t>Cadastro EO / Integração parcial</t>
        </is>
      </c>
      <c r="C102" t="n">
        <v>10</v>
      </c>
      <c r="D102" s="6" t="n">
        <v>46541</v>
      </c>
      <c r="E102" s="6" t="n">
        <v>46551</v>
      </c>
      <c r="F102" t="n">
        <v>92101</v>
      </c>
      <c r="G102" t="inlineStr">
        <is>
          <t>RL</t>
        </is>
      </c>
    </row>
    <row r="103">
      <c r="A103" t="inlineStr">
        <is>
          <t>1.10.5</t>
        </is>
      </c>
      <c r="B103" t="inlineStr">
        <is>
          <t>Entrega do TCI pela empreiteira / Integração final</t>
        </is>
      </c>
      <c r="C103" t="n">
        <v>15</v>
      </c>
      <c r="D103" s="6" t="n">
        <v>46552</v>
      </c>
      <c r="E103" s="6" t="n">
        <v>46567</v>
      </c>
      <c r="F103" t="n">
        <v>92101</v>
      </c>
      <c r="G103" t="inlineStr">
        <is>
          <t>RL</t>
        </is>
      </c>
    </row>
    <row r="104">
      <c r="A104" t="inlineStr">
        <is>
          <t>1.10.6</t>
        </is>
      </c>
      <c r="B104" t="inlineStr">
        <is>
          <t>Abertura de chamado / Atendimento GAT</t>
        </is>
      </c>
      <c r="C104" t="n">
        <v>8</v>
      </c>
      <c r="D104" s="6" t="n">
        <v>46552</v>
      </c>
      <c r="E104" s="6" t="n">
        <v>46560</v>
      </c>
      <c r="F104" t="n">
        <v>92101</v>
      </c>
      <c r="G104" t="inlineStr">
        <is>
          <t>RL</t>
        </is>
      </c>
    </row>
    <row r="105">
      <c r="A105" t="inlineStr">
        <is>
          <t>1.10.7</t>
        </is>
      </c>
      <c r="B105" t="inlineStr">
        <is>
          <t>Comissionar Equipamentos</t>
        </is>
      </c>
      <c r="C105" t="n">
        <v>15</v>
      </c>
      <c r="D105" s="6" t="n">
        <v>46552</v>
      </c>
      <c r="E105" s="6" t="n">
        <v>46567</v>
      </c>
      <c r="F105" t="n">
        <v>92101</v>
      </c>
      <c r="G105" t="inlineStr">
        <is>
          <t>RL</t>
        </is>
      </c>
    </row>
    <row r="106">
      <c r="A106" s="7" t="inlineStr">
        <is>
          <t>1.10.8</t>
        </is>
      </c>
      <c r="B106" s="7" t="inlineStr">
        <is>
          <t>Equipamentos em Operação / Energização (marco)</t>
        </is>
      </c>
      <c r="C106" s="7" t="n">
        <v>0</v>
      </c>
      <c r="D106" s="8" t="n">
        <v>46567</v>
      </c>
      <c r="E106" s="8" t="n">
        <v>46567</v>
      </c>
      <c r="F106" s="7" t="n">
        <v>92101</v>
      </c>
      <c r="G106" s="7" t="inlineStr">
        <is>
          <t>RL</t>
        </is>
      </c>
    </row>
    <row r="107">
      <c r="A107" t="inlineStr">
        <is>
          <t>1.10.9</t>
        </is>
      </c>
      <c r="B107" t="inlineStr">
        <is>
          <t>Encerramento Técnico</t>
        </is>
      </c>
      <c r="C107" t="n">
        <v>7</v>
      </c>
      <c r="D107" s="6" t="n">
        <v>46568</v>
      </c>
      <c r="E107" s="6" t="n">
        <v>46576</v>
      </c>
      <c r="F107" t="n">
        <v>92101</v>
      </c>
      <c r="G107" t="inlineStr">
        <is>
          <t>RL</t>
        </is>
      </c>
    </row>
    <row r="108">
      <c r="A108" t="inlineStr">
        <is>
          <t>1.10.10</t>
        </is>
      </c>
      <c r="B108" t="inlineStr">
        <is>
          <t>Encerramento Contábil</t>
        </is>
      </c>
      <c r="C108" t="n">
        <v>3</v>
      </c>
      <c r="D108" s="6" t="n">
        <v>46577</v>
      </c>
      <c r="E108" s="6" t="n">
        <v>46581</v>
      </c>
      <c r="F108" t="n">
        <v>92101</v>
      </c>
      <c r="G108" t="inlineStr">
        <is>
          <t>RL</t>
        </is>
      </c>
    </row>
    <row r="109">
      <c r="A109" s="4" t="inlineStr">
        <is>
          <t>1.11</t>
        </is>
      </c>
      <c r="B109" s="4" t="inlineStr">
        <is>
          <t>BLOCO 11 - 92102 - QS-6 de Palmas IV - Instalação de 1 RL 13,8 kV</t>
        </is>
      </c>
      <c r="C109" s="4" t="n">
        <v>84</v>
      </c>
      <c r="D109" s="5" t="n">
        <v>46497</v>
      </c>
      <c r="E109" s="5" t="n">
        <v>46581</v>
      </c>
      <c r="F109" s="4" t="n">
        <v>92102</v>
      </c>
      <c r="G109" s="4" t="inlineStr">
        <is>
          <t>RL</t>
        </is>
      </c>
    </row>
    <row r="110">
      <c r="A110" t="inlineStr">
        <is>
          <t>1.11.1</t>
        </is>
      </c>
      <c r="B110" t="inlineStr">
        <is>
          <t>Executar Obras</t>
        </is>
      </c>
      <c r="C110" t="n">
        <v>30</v>
      </c>
      <c r="D110" s="6" t="n">
        <v>46497</v>
      </c>
      <c r="E110" s="6" t="n">
        <v>46527</v>
      </c>
      <c r="F110" t="n">
        <v>92102</v>
      </c>
      <c r="G110" t="inlineStr">
        <is>
          <t>RL</t>
        </is>
      </c>
    </row>
    <row r="111">
      <c r="A111" s="7" t="inlineStr">
        <is>
          <t>1.11.2</t>
        </is>
      </c>
      <c r="B111" s="7" t="inlineStr">
        <is>
          <t>Obras Concluídas (marco)</t>
        </is>
      </c>
      <c r="C111" s="7" t="n">
        <v>0</v>
      </c>
      <c r="D111" s="8" t="n">
        <v>46527</v>
      </c>
      <c r="E111" s="8" t="n">
        <v>46527</v>
      </c>
      <c r="F111" s="7" t="n">
        <v>92102</v>
      </c>
      <c r="G111" s="7" t="inlineStr">
        <is>
          <t>RL</t>
        </is>
      </c>
    </row>
    <row r="112">
      <c r="A112" t="inlineStr">
        <is>
          <t>1.11.3</t>
        </is>
      </c>
      <c r="B112" t="inlineStr">
        <is>
          <t>Fiscalização</t>
        </is>
      </c>
      <c r="C112" t="n">
        <v>12</v>
      </c>
      <c r="D112" s="6" t="n">
        <v>46528</v>
      </c>
      <c r="E112" s="6" t="n">
        <v>46540</v>
      </c>
      <c r="F112" t="n">
        <v>92102</v>
      </c>
      <c r="G112" t="inlineStr">
        <is>
          <t>RL</t>
        </is>
      </c>
    </row>
    <row r="113">
      <c r="A113" t="inlineStr">
        <is>
          <t>1.11.4</t>
        </is>
      </c>
      <c r="B113" t="inlineStr">
        <is>
          <t>Cadastro EO / Integração parcial</t>
        </is>
      </c>
      <c r="C113" t="n">
        <v>10</v>
      </c>
      <c r="D113" s="6" t="n">
        <v>46541</v>
      </c>
      <c r="E113" s="6" t="n">
        <v>46551</v>
      </c>
      <c r="F113" t="n">
        <v>92102</v>
      </c>
      <c r="G113" t="inlineStr">
        <is>
          <t>RL</t>
        </is>
      </c>
    </row>
    <row r="114">
      <c r="A114" t="inlineStr">
        <is>
          <t>1.11.5</t>
        </is>
      </c>
      <c r="B114" t="inlineStr">
        <is>
          <t>Entrega do TCI pela empreiteira / Integração final</t>
        </is>
      </c>
      <c r="C114" t="n">
        <v>15</v>
      </c>
      <c r="D114" s="6" t="n">
        <v>46552</v>
      </c>
      <c r="E114" s="6" t="n">
        <v>46567</v>
      </c>
      <c r="F114" t="n">
        <v>92102</v>
      </c>
      <c r="G114" t="inlineStr">
        <is>
          <t>RL</t>
        </is>
      </c>
    </row>
    <row r="115">
      <c r="A115" t="inlineStr">
        <is>
          <t>1.11.6</t>
        </is>
      </c>
      <c r="B115" t="inlineStr">
        <is>
          <t>Abertura de chamado / Atendimento GAT</t>
        </is>
      </c>
      <c r="C115" t="n">
        <v>8</v>
      </c>
      <c r="D115" s="6" t="n">
        <v>46552</v>
      </c>
      <c r="E115" s="6" t="n">
        <v>46560</v>
      </c>
      <c r="F115" t="n">
        <v>92102</v>
      </c>
      <c r="G115" t="inlineStr">
        <is>
          <t>RL</t>
        </is>
      </c>
    </row>
    <row r="116">
      <c r="A116" t="inlineStr">
        <is>
          <t>1.11.7</t>
        </is>
      </c>
      <c r="B116" t="inlineStr">
        <is>
          <t>Comissionar Equipamentos</t>
        </is>
      </c>
      <c r="C116" t="n">
        <v>15</v>
      </c>
      <c r="D116" s="6" t="n">
        <v>46552</v>
      </c>
      <c r="E116" s="6" t="n">
        <v>46567</v>
      </c>
      <c r="F116" t="n">
        <v>92102</v>
      </c>
      <c r="G116" t="inlineStr">
        <is>
          <t>RL</t>
        </is>
      </c>
    </row>
    <row r="117">
      <c r="A117" s="7" t="inlineStr">
        <is>
          <t>1.11.8</t>
        </is>
      </c>
      <c r="B117" s="7" t="inlineStr">
        <is>
          <t>Equipamentos em Operação / Energização (marco)</t>
        </is>
      </c>
      <c r="C117" s="7" t="n">
        <v>0</v>
      </c>
      <c r="D117" s="8" t="n">
        <v>46567</v>
      </c>
      <c r="E117" s="8" t="n">
        <v>46567</v>
      </c>
      <c r="F117" s="7" t="n">
        <v>92102</v>
      </c>
      <c r="G117" s="7" t="inlineStr">
        <is>
          <t>RL</t>
        </is>
      </c>
    </row>
    <row r="118">
      <c r="A118" t="inlineStr">
        <is>
          <t>1.11.9</t>
        </is>
      </c>
      <c r="B118" t="inlineStr">
        <is>
          <t>Encerramento Técnico</t>
        </is>
      </c>
      <c r="C118" t="n">
        <v>7</v>
      </c>
      <c r="D118" s="6" t="n">
        <v>46568</v>
      </c>
      <c r="E118" s="6" t="n">
        <v>46576</v>
      </c>
      <c r="F118" t="n">
        <v>92102</v>
      </c>
      <c r="G118" t="inlineStr">
        <is>
          <t>RL</t>
        </is>
      </c>
    </row>
    <row r="119">
      <c r="A119" t="inlineStr">
        <is>
          <t>1.11.10</t>
        </is>
      </c>
      <c r="B119" t="inlineStr">
        <is>
          <t>Encerramento Contábil</t>
        </is>
      </c>
      <c r="C119" t="n">
        <v>3</v>
      </c>
      <c r="D119" s="6" t="n">
        <v>46577</v>
      </c>
      <c r="E119" s="6" t="n">
        <v>46581</v>
      </c>
      <c r="F119" t="n">
        <v>92102</v>
      </c>
      <c r="G119" t="inlineStr">
        <is>
          <t>RL</t>
        </is>
      </c>
    </row>
    <row r="120">
      <c r="A120" s="4" t="inlineStr">
        <is>
          <t>1.12</t>
        </is>
      </c>
      <c r="B120" s="4" t="inlineStr">
        <is>
          <t>BLOCO 12 - 89249 - LD Araguaína - Babaçulândia - 2AR0 - Instalação de 1 RT 34,5 kV</t>
        </is>
      </c>
      <c r="C120" s="4" t="n">
        <v>84</v>
      </c>
      <c r="D120" s="5" t="n">
        <v>46560</v>
      </c>
      <c r="E120" s="5" t="n">
        <v>46644</v>
      </c>
      <c r="F120" s="4" t="n">
        <v>89249</v>
      </c>
      <c r="G120" s="4" t="inlineStr">
        <is>
          <t>RT</t>
        </is>
      </c>
    </row>
    <row r="121">
      <c r="A121" t="inlineStr">
        <is>
          <t>1.12.1</t>
        </is>
      </c>
      <c r="B121" t="inlineStr">
        <is>
          <t>Executar Obras</t>
        </is>
      </c>
      <c r="C121" t="n">
        <v>30</v>
      </c>
      <c r="D121" s="6" t="n">
        <v>46560</v>
      </c>
      <c r="E121" s="6" t="n">
        <v>46590</v>
      </c>
      <c r="F121" t="n">
        <v>89249</v>
      </c>
      <c r="G121" t="inlineStr">
        <is>
          <t>RT</t>
        </is>
      </c>
    </row>
    <row r="122">
      <c r="A122" s="7" t="inlineStr">
        <is>
          <t>1.12.2</t>
        </is>
      </c>
      <c r="B122" s="7" t="inlineStr">
        <is>
          <t>Obras Concluídas (marco)</t>
        </is>
      </c>
      <c r="C122" s="7" t="n">
        <v>0</v>
      </c>
      <c r="D122" s="8" t="n">
        <v>46590</v>
      </c>
      <c r="E122" s="8" t="n">
        <v>46590</v>
      </c>
      <c r="F122" s="7" t="n">
        <v>89249</v>
      </c>
      <c r="G122" s="7" t="inlineStr">
        <is>
          <t>RT</t>
        </is>
      </c>
    </row>
    <row r="123">
      <c r="A123" t="inlineStr">
        <is>
          <t>1.12.3</t>
        </is>
      </c>
      <c r="B123" t="inlineStr">
        <is>
          <t>Fiscalização</t>
        </is>
      </c>
      <c r="C123" t="n">
        <v>12</v>
      </c>
      <c r="D123" s="6" t="n">
        <v>46591</v>
      </c>
      <c r="E123" s="6" t="n">
        <v>46603</v>
      </c>
      <c r="F123" t="n">
        <v>89249</v>
      </c>
      <c r="G123" t="inlineStr">
        <is>
          <t>RT</t>
        </is>
      </c>
    </row>
    <row r="124">
      <c r="A124" t="inlineStr">
        <is>
          <t>1.12.4</t>
        </is>
      </c>
      <c r="B124" t="inlineStr">
        <is>
          <t>Cadastro EO / Integração parcial</t>
        </is>
      </c>
      <c r="C124" t="n">
        <v>10</v>
      </c>
      <c r="D124" s="6" t="n">
        <v>46604</v>
      </c>
      <c r="E124" s="6" t="n">
        <v>46614</v>
      </c>
      <c r="F124" t="n">
        <v>89249</v>
      </c>
      <c r="G124" t="inlineStr">
        <is>
          <t>RT</t>
        </is>
      </c>
    </row>
    <row r="125">
      <c r="A125" t="inlineStr">
        <is>
          <t>1.12.5</t>
        </is>
      </c>
      <c r="B125" t="inlineStr">
        <is>
          <t>Entrega do TCI pela empreiteira / Integração final</t>
        </is>
      </c>
      <c r="C125" t="n">
        <v>15</v>
      </c>
      <c r="D125" s="6" t="n">
        <v>46615</v>
      </c>
      <c r="E125" s="6" t="n">
        <v>46630</v>
      </c>
      <c r="F125" t="n">
        <v>89249</v>
      </c>
      <c r="G125" t="inlineStr">
        <is>
          <t>RT</t>
        </is>
      </c>
    </row>
    <row r="126">
      <c r="A126" t="inlineStr">
        <is>
          <t>1.12.6</t>
        </is>
      </c>
      <c r="B126" t="inlineStr">
        <is>
          <t>Comissionar Equipamentos</t>
        </is>
      </c>
      <c r="C126" t="n">
        <v>15</v>
      </c>
      <c r="D126" s="6" t="n">
        <v>46615</v>
      </c>
      <c r="E126" s="6" t="n">
        <v>46630</v>
      </c>
      <c r="F126" t="n">
        <v>89249</v>
      </c>
      <c r="G126" t="inlineStr">
        <is>
          <t>RT</t>
        </is>
      </c>
    </row>
    <row r="127">
      <c r="A127" s="7" t="inlineStr">
        <is>
          <t>1.12.7</t>
        </is>
      </c>
      <c r="B127" s="7" t="inlineStr">
        <is>
          <t>Equipamentos em Operação / Energização (marco)</t>
        </is>
      </c>
      <c r="C127" s="7" t="n">
        <v>0</v>
      </c>
      <c r="D127" s="8" t="n">
        <v>46630</v>
      </c>
      <c r="E127" s="8" t="n">
        <v>46630</v>
      </c>
      <c r="F127" s="7" t="n">
        <v>89249</v>
      </c>
      <c r="G127" s="7" t="inlineStr">
        <is>
          <t>RT</t>
        </is>
      </c>
    </row>
    <row r="128">
      <c r="A128" t="inlineStr">
        <is>
          <t>1.12.8</t>
        </is>
      </c>
      <c r="B128" t="inlineStr">
        <is>
          <t>Encerramento Técnico</t>
        </is>
      </c>
      <c r="C128" t="n">
        <v>7</v>
      </c>
      <c r="D128" s="6" t="n">
        <v>46631</v>
      </c>
      <c r="E128" s="6" t="n">
        <v>46639</v>
      </c>
      <c r="F128" t="n">
        <v>89249</v>
      </c>
      <c r="G128" t="inlineStr">
        <is>
          <t>RT</t>
        </is>
      </c>
    </row>
    <row r="129">
      <c r="A129" t="inlineStr">
        <is>
          <t>1.12.9</t>
        </is>
      </c>
      <c r="B129" t="inlineStr">
        <is>
          <t>Encerramento Contábil</t>
        </is>
      </c>
      <c r="C129" t="n">
        <v>3</v>
      </c>
      <c r="D129" s="6" t="n">
        <v>46640</v>
      </c>
      <c r="E129" s="6" t="n">
        <v>46644</v>
      </c>
      <c r="F129" t="n">
        <v>89249</v>
      </c>
      <c r="G129" t="inlineStr">
        <is>
          <t>RT</t>
        </is>
      </c>
    </row>
    <row r="130">
      <c r="A130" s="4" t="inlineStr">
        <is>
          <t>1.13</t>
        </is>
      </c>
      <c r="B130" s="4" t="inlineStr">
        <is>
          <t>BLOCO 13 - 89307 - 1 de Figueirópolis - 2FGR - Instalação de 1 RT 13,8 kV + remanejamento de 1 RL</t>
        </is>
      </c>
      <c r="C130" s="4" t="n">
        <v>84</v>
      </c>
      <c r="D130" s="5" t="n">
        <v>46560</v>
      </c>
      <c r="E130" s="5" t="n">
        <v>46644</v>
      </c>
      <c r="F130" s="4" t="n">
        <v>89307</v>
      </c>
      <c r="G130" s="4" t="inlineStr">
        <is>
          <t>RT</t>
        </is>
      </c>
    </row>
    <row r="131">
      <c r="A131" t="inlineStr">
        <is>
          <t>1.13.1</t>
        </is>
      </c>
      <c r="B131" t="inlineStr">
        <is>
          <t>Executar Obras</t>
        </is>
      </c>
      <c r="C131" t="n">
        <v>30</v>
      </c>
      <c r="D131" s="6" t="n">
        <v>46560</v>
      </c>
      <c r="E131" s="6" t="n">
        <v>46590</v>
      </c>
      <c r="F131" t="n">
        <v>89307</v>
      </c>
      <c r="G131" t="inlineStr">
        <is>
          <t>RT</t>
        </is>
      </c>
    </row>
    <row r="132">
      <c r="A132" s="7" t="inlineStr">
        <is>
          <t>1.13.2</t>
        </is>
      </c>
      <c r="B132" s="7" t="inlineStr">
        <is>
          <t>Obras Concluídas (marco)</t>
        </is>
      </c>
      <c r="C132" s="7" t="n">
        <v>0</v>
      </c>
      <c r="D132" s="8" t="n">
        <v>46590</v>
      </c>
      <c r="E132" s="8" t="n">
        <v>46590</v>
      </c>
      <c r="F132" s="7" t="n">
        <v>89307</v>
      </c>
      <c r="G132" s="7" t="inlineStr">
        <is>
          <t>RT</t>
        </is>
      </c>
    </row>
    <row r="133">
      <c r="A133" t="inlineStr">
        <is>
          <t>1.13.3</t>
        </is>
      </c>
      <c r="B133" t="inlineStr">
        <is>
          <t>Fiscalização</t>
        </is>
      </c>
      <c r="C133" t="n">
        <v>12</v>
      </c>
      <c r="D133" s="6" t="n">
        <v>46591</v>
      </c>
      <c r="E133" s="6" t="n">
        <v>46603</v>
      </c>
      <c r="F133" t="n">
        <v>89307</v>
      </c>
      <c r="G133" t="inlineStr">
        <is>
          <t>RT</t>
        </is>
      </c>
    </row>
    <row r="134">
      <c r="A134" t="inlineStr">
        <is>
          <t>1.13.4</t>
        </is>
      </c>
      <c r="B134" t="inlineStr">
        <is>
          <t>Cadastro EO / Integração parcial</t>
        </is>
      </c>
      <c r="C134" t="n">
        <v>10</v>
      </c>
      <c r="D134" s="6" t="n">
        <v>46604</v>
      </c>
      <c r="E134" s="6" t="n">
        <v>46614</v>
      </c>
      <c r="F134" t="n">
        <v>89307</v>
      </c>
      <c r="G134" t="inlineStr">
        <is>
          <t>RT</t>
        </is>
      </c>
    </row>
    <row r="135">
      <c r="A135" t="inlineStr">
        <is>
          <t>1.13.5</t>
        </is>
      </c>
      <c r="B135" t="inlineStr">
        <is>
          <t>Entrega do TCI pela empreiteira / Integração final</t>
        </is>
      </c>
      <c r="C135" t="n">
        <v>15</v>
      </c>
      <c r="D135" s="6" t="n">
        <v>46615</v>
      </c>
      <c r="E135" s="6" t="n">
        <v>46630</v>
      </c>
      <c r="F135" t="n">
        <v>89307</v>
      </c>
      <c r="G135" t="inlineStr">
        <is>
          <t>RT</t>
        </is>
      </c>
    </row>
    <row r="136">
      <c r="A136" t="inlineStr">
        <is>
          <t>1.13.6</t>
        </is>
      </c>
      <c r="B136" t="inlineStr">
        <is>
          <t>Abertura de chamado / Atendimento GAT</t>
        </is>
      </c>
      <c r="C136" t="n">
        <v>8</v>
      </c>
      <c r="D136" s="6" t="n">
        <v>46615</v>
      </c>
      <c r="E136" s="6" t="n">
        <v>46623</v>
      </c>
      <c r="F136" t="n">
        <v>89307</v>
      </c>
      <c r="G136" t="inlineStr">
        <is>
          <t>RT</t>
        </is>
      </c>
    </row>
    <row r="137">
      <c r="A137" t="inlineStr">
        <is>
          <t>1.13.7</t>
        </is>
      </c>
      <c r="B137" t="inlineStr">
        <is>
          <t>Comissionar Equipamentos</t>
        </is>
      </c>
      <c r="C137" t="n">
        <v>15</v>
      </c>
      <c r="D137" s="6" t="n">
        <v>46615</v>
      </c>
      <c r="E137" s="6" t="n">
        <v>46630</v>
      </c>
      <c r="F137" t="n">
        <v>89307</v>
      </c>
      <c r="G137" t="inlineStr">
        <is>
          <t>RT</t>
        </is>
      </c>
    </row>
    <row r="138">
      <c r="A138" s="7" t="inlineStr">
        <is>
          <t>1.13.8</t>
        </is>
      </c>
      <c r="B138" s="7" t="inlineStr">
        <is>
          <t>Equipamentos em Operação / Energização (marco)</t>
        </is>
      </c>
      <c r="C138" s="7" t="n">
        <v>0</v>
      </c>
      <c r="D138" s="8" t="n">
        <v>46630</v>
      </c>
      <c r="E138" s="8" t="n">
        <v>46630</v>
      </c>
      <c r="F138" s="7" t="n">
        <v>89307</v>
      </c>
      <c r="G138" s="7" t="inlineStr">
        <is>
          <t>RT</t>
        </is>
      </c>
    </row>
    <row r="139">
      <c r="A139" t="inlineStr">
        <is>
          <t>1.13.9</t>
        </is>
      </c>
      <c r="B139" t="inlineStr">
        <is>
          <t>Encerramento Técnico</t>
        </is>
      </c>
      <c r="C139" t="n">
        <v>7</v>
      </c>
      <c r="D139" s="6" t="n">
        <v>46631</v>
      </c>
      <c r="E139" s="6" t="n">
        <v>46639</v>
      </c>
      <c r="F139" t="n">
        <v>89307</v>
      </c>
      <c r="G139" t="inlineStr">
        <is>
          <t>RT</t>
        </is>
      </c>
    </row>
    <row r="140">
      <c r="A140" t="inlineStr">
        <is>
          <t>1.13.10</t>
        </is>
      </c>
      <c r="B140" t="inlineStr">
        <is>
          <t>Encerramento Contábil</t>
        </is>
      </c>
      <c r="C140" t="n">
        <v>3</v>
      </c>
      <c r="D140" s="6" t="n">
        <v>46640</v>
      </c>
      <c r="E140" s="6" t="n">
        <v>46644</v>
      </c>
      <c r="F140" t="n">
        <v>89307</v>
      </c>
      <c r="G140" t="inlineStr">
        <is>
          <t>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10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</cols>
  <sheetData>
    <row r="1">
      <c r="A1" s="1" t="inlineStr">
        <is>
          <t>WBS</t>
        </is>
      </c>
      <c r="B1" s="1" t="inlineStr">
        <is>
          <t>Tarefa</t>
        </is>
      </c>
      <c r="C1" s="1" t="inlineStr">
        <is>
          <t>Início</t>
        </is>
      </c>
      <c r="D1" s="1" t="inlineStr">
        <is>
          <t>Término</t>
        </is>
      </c>
      <c r="E1" s="9" t="n">
        <v>46426</v>
      </c>
      <c r="F1" s="9" t="n">
        <v>46433</v>
      </c>
      <c r="G1" s="9" t="n">
        <v>46440</v>
      </c>
      <c r="H1" s="9" t="n">
        <v>46447</v>
      </c>
      <c r="I1" s="9" t="n">
        <v>46454</v>
      </c>
      <c r="J1" s="9" t="n">
        <v>46461</v>
      </c>
      <c r="K1" s="9" t="n">
        <v>46468</v>
      </c>
      <c r="L1" s="9" t="n">
        <v>46475</v>
      </c>
      <c r="M1" s="9" t="n">
        <v>46482</v>
      </c>
      <c r="N1" s="9" t="n">
        <v>46489</v>
      </c>
      <c r="O1" s="9" t="n">
        <v>46496</v>
      </c>
      <c r="P1" s="9" t="n">
        <v>46503</v>
      </c>
      <c r="Q1" s="9" t="n">
        <v>46510</v>
      </c>
      <c r="R1" s="9" t="n">
        <v>46517</v>
      </c>
      <c r="S1" s="9" t="n">
        <v>46524</v>
      </c>
      <c r="T1" s="9" t="n">
        <v>46531</v>
      </c>
      <c r="U1" s="9" t="n">
        <v>46538</v>
      </c>
      <c r="V1" s="9" t="n">
        <v>46545</v>
      </c>
      <c r="W1" s="9" t="n">
        <v>46552</v>
      </c>
      <c r="X1" s="9" t="n">
        <v>46559</v>
      </c>
      <c r="Y1" s="9" t="n">
        <v>46566</v>
      </c>
      <c r="Z1" s="9" t="n">
        <v>46573</v>
      </c>
      <c r="AA1" s="9" t="n">
        <v>46580</v>
      </c>
      <c r="AB1" s="9" t="n">
        <v>46587</v>
      </c>
      <c r="AC1" s="9" t="n">
        <v>46594</v>
      </c>
      <c r="AD1" s="9" t="n">
        <v>46601</v>
      </c>
      <c r="AE1" s="9" t="n">
        <v>46608</v>
      </c>
      <c r="AF1" s="9" t="n">
        <v>46615</v>
      </c>
      <c r="AG1" s="9" t="n">
        <v>46622</v>
      </c>
      <c r="AH1" s="9" t="n">
        <v>46629</v>
      </c>
      <c r="AI1" s="9" t="n">
        <v>46636</v>
      </c>
      <c r="AJ1" s="9" t="n">
        <v>46643</v>
      </c>
      <c r="AK1" s="9" t="n">
        <v>46650</v>
      </c>
      <c r="AL1" s="9" t="n">
        <v>46657</v>
      </c>
    </row>
    <row r="2">
      <c r="A2" s="2" t="inlineStr">
        <is>
          <t>1.1</t>
        </is>
      </c>
      <c r="B2" s="2" t="inlineStr">
        <is>
          <t>BLOCO 1 - 90811 - LD UHE Isamu - Ponte Alta - 1UI1 - Instalação de 4 RL 34,5 kV</t>
        </is>
      </c>
      <c r="C2" s="10" t="n">
        <v>46434</v>
      </c>
      <c r="D2" s="10" t="n">
        <v>46518</v>
      </c>
    </row>
    <row r="3">
      <c r="A3" t="inlineStr">
        <is>
          <t>1.1.1</t>
        </is>
      </c>
      <c r="B3" t="inlineStr">
        <is>
          <t>Executar Obras</t>
        </is>
      </c>
      <c r="C3" s="11" t="n">
        <v>46434</v>
      </c>
      <c r="D3" s="11" t="n">
        <v>46464</v>
      </c>
    </row>
    <row r="4">
      <c r="A4" t="inlineStr">
        <is>
          <t>1.1.2</t>
        </is>
      </c>
      <c r="B4" t="inlineStr">
        <is>
          <t>Obras Concluídas (marco)</t>
        </is>
      </c>
      <c r="C4" s="11" t="n">
        <v>46464</v>
      </c>
      <c r="D4" s="11" t="n">
        <v>46464</v>
      </c>
    </row>
    <row r="5">
      <c r="A5" t="inlineStr">
        <is>
          <t>1.1.3</t>
        </is>
      </c>
      <c r="B5" t="inlineStr">
        <is>
          <t>Fiscalização</t>
        </is>
      </c>
      <c r="C5" s="11" t="n">
        <v>46465</v>
      </c>
      <c r="D5" s="11" t="n">
        <v>46477</v>
      </c>
    </row>
    <row r="6">
      <c r="A6" t="inlineStr">
        <is>
          <t>1.1.4</t>
        </is>
      </c>
      <c r="B6" t="inlineStr">
        <is>
          <t>Cadastro EO / Integração parcial</t>
        </is>
      </c>
      <c r="C6" s="11" t="n">
        <v>46478</v>
      </c>
      <c r="D6" s="11" t="n">
        <v>46488</v>
      </c>
    </row>
    <row r="7">
      <c r="A7" t="inlineStr">
        <is>
          <t>1.1.5</t>
        </is>
      </c>
      <c r="B7" t="inlineStr">
        <is>
          <t>Entrega do TCI pela empreiteira / Integração final</t>
        </is>
      </c>
      <c r="C7" s="11" t="n">
        <v>46489</v>
      </c>
      <c r="D7" s="11" t="n">
        <v>46504</v>
      </c>
    </row>
    <row r="8">
      <c r="A8" t="inlineStr">
        <is>
          <t>1.1.6</t>
        </is>
      </c>
      <c r="B8" t="inlineStr">
        <is>
          <t>Abertura de chamado / Atendimento GAT</t>
        </is>
      </c>
      <c r="C8" s="11" t="n">
        <v>46489</v>
      </c>
      <c r="D8" s="11" t="n">
        <v>46497</v>
      </c>
    </row>
    <row r="9">
      <c r="A9" t="inlineStr">
        <is>
          <t>1.1.7</t>
        </is>
      </c>
      <c r="B9" t="inlineStr">
        <is>
          <t>Comissionar Equipamentos</t>
        </is>
      </c>
      <c r="C9" s="11" t="n">
        <v>46489</v>
      </c>
      <c r="D9" s="11" t="n">
        <v>46504</v>
      </c>
    </row>
    <row r="10">
      <c r="A10" t="inlineStr">
        <is>
          <t>1.1.8</t>
        </is>
      </c>
      <c r="B10" t="inlineStr">
        <is>
          <t>Equipamentos em Operação / Energização (marco)</t>
        </is>
      </c>
      <c r="C10" s="11" t="n">
        <v>46504</v>
      </c>
      <c r="D10" s="11" t="n">
        <v>46504</v>
      </c>
    </row>
    <row r="11">
      <c r="A11" t="inlineStr">
        <is>
          <t>1.1.9</t>
        </is>
      </c>
      <c r="B11" t="inlineStr">
        <is>
          <t>Encerramento Técnico</t>
        </is>
      </c>
      <c r="C11" s="11" t="n">
        <v>46505</v>
      </c>
      <c r="D11" s="11" t="n">
        <v>46513</v>
      </c>
    </row>
    <row r="12">
      <c r="A12" t="inlineStr">
        <is>
          <t>1.1.10</t>
        </is>
      </c>
      <c r="B12" t="inlineStr">
        <is>
          <t>Encerramento Contábil</t>
        </is>
      </c>
      <c r="C12" s="11" t="n">
        <v>46514</v>
      </c>
      <c r="D12" s="11" t="n">
        <v>46518</v>
      </c>
    </row>
    <row r="13">
      <c r="A13" s="2" t="inlineStr">
        <is>
          <t>1.2</t>
        </is>
      </c>
      <c r="B13" s="2" t="inlineStr">
        <is>
          <t>BLOCO 2 - 90811 - LD UHE Isamu - Ponte Alta - 1UI1 - Instalação de 3 RT 34,5 kV</t>
        </is>
      </c>
      <c r="C13" s="10" t="n">
        <v>46434</v>
      </c>
      <c r="D13" s="10" t="n">
        <v>46518</v>
      </c>
    </row>
    <row r="14">
      <c r="A14" t="inlineStr">
        <is>
          <t>1.2.1</t>
        </is>
      </c>
      <c r="B14" t="inlineStr">
        <is>
          <t>Executar Obras</t>
        </is>
      </c>
      <c r="C14" s="11" t="n">
        <v>46434</v>
      </c>
      <c r="D14" s="11" t="n">
        <v>46464</v>
      </c>
    </row>
    <row r="15">
      <c r="A15" t="inlineStr">
        <is>
          <t>1.2.2</t>
        </is>
      </c>
      <c r="B15" t="inlineStr">
        <is>
          <t>Obras Concluídas (marco)</t>
        </is>
      </c>
      <c r="C15" s="11" t="n">
        <v>46464</v>
      </c>
      <c r="D15" s="11" t="n">
        <v>46464</v>
      </c>
    </row>
    <row r="16">
      <c r="A16" t="inlineStr">
        <is>
          <t>1.2.3</t>
        </is>
      </c>
      <c r="B16" t="inlineStr">
        <is>
          <t>Fiscalização</t>
        </is>
      </c>
      <c r="C16" s="11" t="n">
        <v>46465</v>
      </c>
      <c r="D16" s="11" t="n">
        <v>46477</v>
      </c>
    </row>
    <row r="17">
      <c r="A17" t="inlineStr">
        <is>
          <t>1.2.4</t>
        </is>
      </c>
      <c r="B17" t="inlineStr">
        <is>
          <t>Cadastro EO / Integração parcial</t>
        </is>
      </c>
      <c r="C17" s="11" t="n">
        <v>46478</v>
      </c>
      <c r="D17" s="11" t="n">
        <v>46488</v>
      </c>
    </row>
    <row r="18">
      <c r="A18" t="inlineStr">
        <is>
          <t>1.2.5</t>
        </is>
      </c>
      <c r="B18" t="inlineStr">
        <is>
          <t>Entrega do TCI pela empreiteira / Integração final</t>
        </is>
      </c>
      <c r="C18" s="11" t="n">
        <v>46489</v>
      </c>
      <c r="D18" s="11" t="n">
        <v>46504</v>
      </c>
    </row>
    <row r="19">
      <c r="A19" t="inlineStr">
        <is>
          <t>1.2.6</t>
        </is>
      </c>
      <c r="B19" t="inlineStr">
        <is>
          <t>Comissionar Equipamentos</t>
        </is>
      </c>
      <c r="C19" s="11" t="n">
        <v>46489</v>
      </c>
      <c r="D19" s="11" t="n">
        <v>46504</v>
      </c>
    </row>
    <row r="20">
      <c r="A20" t="inlineStr">
        <is>
          <t>1.2.7</t>
        </is>
      </c>
      <c r="B20" t="inlineStr">
        <is>
          <t>Equipamentos em Operação / Energização (marco)</t>
        </is>
      </c>
      <c r="C20" s="11" t="n">
        <v>46504</v>
      </c>
      <c r="D20" s="11" t="n">
        <v>46504</v>
      </c>
    </row>
    <row r="21">
      <c r="A21" t="inlineStr">
        <is>
          <t>1.2.8</t>
        </is>
      </c>
      <c r="B21" t="inlineStr">
        <is>
          <t>Encerramento Técnico</t>
        </is>
      </c>
      <c r="C21" s="11" t="n">
        <v>46505</v>
      </c>
      <c r="D21" s="11" t="n">
        <v>46513</v>
      </c>
    </row>
    <row r="22">
      <c r="A22" t="inlineStr">
        <is>
          <t>1.2.9</t>
        </is>
      </c>
      <c r="B22" t="inlineStr">
        <is>
          <t>Encerramento Contábil</t>
        </is>
      </c>
      <c r="C22" s="11" t="n">
        <v>46514</v>
      </c>
      <c r="D22" s="11" t="n">
        <v>46518</v>
      </c>
    </row>
    <row r="23">
      <c r="A23" s="2" t="inlineStr">
        <is>
          <t>1.3</t>
        </is>
      </c>
      <c r="B23" s="2" t="inlineStr">
        <is>
          <t>BLOCO 3 - 89267 - LD Xambioá II - Araguanã - 2XB2 - Instalação de 2 RT 34,5 kV</t>
        </is>
      </c>
      <c r="C23" s="10" t="n">
        <v>46462</v>
      </c>
      <c r="D23" s="10" t="n">
        <v>46546</v>
      </c>
    </row>
    <row r="24">
      <c r="A24" t="inlineStr">
        <is>
          <t>1.3.1</t>
        </is>
      </c>
      <c r="B24" t="inlineStr">
        <is>
          <t>Executar Obras</t>
        </is>
      </c>
      <c r="C24" s="11" t="n">
        <v>46462</v>
      </c>
      <c r="D24" s="11" t="n">
        <v>46492</v>
      </c>
    </row>
    <row r="25">
      <c r="A25" t="inlineStr">
        <is>
          <t>1.3.2</t>
        </is>
      </c>
      <c r="B25" t="inlineStr">
        <is>
          <t>Obras Concluídas (marco)</t>
        </is>
      </c>
      <c r="C25" s="11" t="n">
        <v>46492</v>
      </c>
      <c r="D25" s="11" t="n">
        <v>46492</v>
      </c>
    </row>
    <row r="26">
      <c r="A26" t="inlineStr">
        <is>
          <t>1.3.3</t>
        </is>
      </c>
      <c r="B26" t="inlineStr">
        <is>
          <t>Fiscalização</t>
        </is>
      </c>
      <c r="C26" s="11" t="n">
        <v>46493</v>
      </c>
      <c r="D26" s="11" t="n">
        <v>46505</v>
      </c>
    </row>
    <row r="27">
      <c r="A27" t="inlineStr">
        <is>
          <t>1.3.4</t>
        </is>
      </c>
      <c r="B27" t="inlineStr">
        <is>
          <t>Cadastro EO / Integração parcial</t>
        </is>
      </c>
      <c r="C27" s="11" t="n">
        <v>46506</v>
      </c>
      <c r="D27" s="11" t="n">
        <v>46516</v>
      </c>
    </row>
    <row r="28">
      <c r="A28" t="inlineStr">
        <is>
          <t>1.3.5</t>
        </is>
      </c>
      <c r="B28" t="inlineStr">
        <is>
          <t>Entrega do TCI pela empreiteira / Integração final</t>
        </is>
      </c>
      <c r="C28" s="11" t="n">
        <v>46517</v>
      </c>
      <c r="D28" s="11" t="n">
        <v>46532</v>
      </c>
    </row>
    <row r="29">
      <c r="A29" t="inlineStr">
        <is>
          <t>1.3.6</t>
        </is>
      </c>
      <c r="B29" t="inlineStr">
        <is>
          <t>Comissionar Equipamentos</t>
        </is>
      </c>
      <c r="C29" s="11" t="n">
        <v>46517</v>
      </c>
      <c r="D29" s="11" t="n">
        <v>46532</v>
      </c>
    </row>
    <row r="30">
      <c r="A30" t="inlineStr">
        <is>
          <t>1.3.7</t>
        </is>
      </c>
      <c r="B30" t="inlineStr">
        <is>
          <t>Equipamentos em Operação / Energização (marco)</t>
        </is>
      </c>
      <c r="C30" s="11" t="n">
        <v>46532</v>
      </c>
      <c r="D30" s="11" t="n">
        <v>46532</v>
      </c>
    </row>
    <row r="31">
      <c r="A31" t="inlineStr">
        <is>
          <t>1.3.8</t>
        </is>
      </c>
      <c r="B31" t="inlineStr">
        <is>
          <t>Encerramento Técnico</t>
        </is>
      </c>
      <c r="C31" s="11" t="n">
        <v>46533</v>
      </c>
      <c r="D31" s="11" t="n">
        <v>46541</v>
      </c>
    </row>
    <row r="32">
      <c r="A32" t="inlineStr">
        <is>
          <t>1.3.9</t>
        </is>
      </c>
      <c r="B32" t="inlineStr">
        <is>
          <t>Encerramento Contábil</t>
        </is>
      </c>
      <c r="C32" s="11" t="n">
        <v>46542</v>
      </c>
      <c r="D32" s="11" t="n">
        <v>46546</v>
      </c>
    </row>
    <row r="33">
      <c r="A33" s="2" t="inlineStr">
        <is>
          <t>1.4</t>
        </is>
      </c>
      <c r="B33" s="2" t="inlineStr">
        <is>
          <t>BLOCO 4 - 91979 - QS-LD Gurupi - Duere - Instalação de 1 RL rural 34,5 kV + 3 TripSaver</t>
        </is>
      </c>
      <c r="C33" s="10" t="n">
        <v>46462</v>
      </c>
      <c r="D33" s="10" t="n">
        <v>46546</v>
      </c>
    </row>
    <row r="34">
      <c r="A34" t="inlineStr">
        <is>
          <t>1.4.1</t>
        </is>
      </c>
      <c r="B34" t="inlineStr">
        <is>
          <t>Executar Obras</t>
        </is>
      </c>
      <c r="C34" s="11" t="n">
        <v>46462</v>
      </c>
      <c r="D34" s="11" t="n">
        <v>46492</v>
      </c>
    </row>
    <row r="35">
      <c r="A35" t="inlineStr">
        <is>
          <t>1.4.2</t>
        </is>
      </c>
      <c r="B35" t="inlineStr">
        <is>
          <t>Obras Concluídas (marco)</t>
        </is>
      </c>
      <c r="C35" s="11" t="n">
        <v>46492</v>
      </c>
      <c r="D35" s="11" t="n">
        <v>46492</v>
      </c>
    </row>
    <row r="36">
      <c r="A36" t="inlineStr">
        <is>
          <t>1.4.3</t>
        </is>
      </c>
      <c r="B36" t="inlineStr">
        <is>
          <t>Fiscalização</t>
        </is>
      </c>
      <c r="C36" s="11" t="n">
        <v>46493</v>
      </c>
      <c r="D36" s="11" t="n">
        <v>46505</v>
      </c>
    </row>
    <row r="37">
      <c r="A37" t="inlineStr">
        <is>
          <t>1.4.4</t>
        </is>
      </c>
      <c r="B37" t="inlineStr">
        <is>
          <t>Cadastro EO / Integração parcial</t>
        </is>
      </c>
      <c r="C37" s="11" t="n">
        <v>46506</v>
      </c>
      <c r="D37" s="11" t="n">
        <v>46516</v>
      </c>
    </row>
    <row r="38">
      <c r="A38" t="inlineStr">
        <is>
          <t>1.4.5</t>
        </is>
      </c>
      <c r="B38" t="inlineStr">
        <is>
          <t>Entrega do TCI pela empreiteira / Integração final</t>
        </is>
      </c>
      <c r="C38" s="11" t="n">
        <v>46517</v>
      </c>
      <c r="D38" s="11" t="n">
        <v>46532</v>
      </c>
    </row>
    <row r="39">
      <c r="A39" t="inlineStr">
        <is>
          <t>1.4.6</t>
        </is>
      </c>
      <c r="B39" t="inlineStr">
        <is>
          <t>Abertura de chamado / Atendimento GAT</t>
        </is>
      </c>
      <c r="C39" s="11" t="n">
        <v>46517</v>
      </c>
      <c r="D39" s="11" t="n">
        <v>46525</v>
      </c>
    </row>
    <row r="40">
      <c r="A40" t="inlineStr">
        <is>
          <t>1.4.7</t>
        </is>
      </c>
      <c r="B40" t="inlineStr">
        <is>
          <t>Comissionar Equipamentos</t>
        </is>
      </c>
      <c r="C40" s="11" t="n">
        <v>46517</v>
      </c>
      <c r="D40" s="11" t="n">
        <v>46532</v>
      </c>
    </row>
    <row r="41">
      <c r="A41" t="inlineStr">
        <is>
          <t>1.4.8</t>
        </is>
      </c>
      <c r="B41" t="inlineStr">
        <is>
          <t>Equipamentos em Operação / Energização (marco)</t>
        </is>
      </c>
      <c r="C41" s="11" t="n">
        <v>46532</v>
      </c>
      <c r="D41" s="11" t="n">
        <v>46532</v>
      </c>
    </row>
    <row r="42">
      <c r="A42" t="inlineStr">
        <is>
          <t>1.4.9</t>
        </is>
      </c>
      <c r="B42" t="inlineStr">
        <is>
          <t>Encerramento Técnico</t>
        </is>
      </c>
      <c r="C42" s="11" t="n">
        <v>46533</v>
      </c>
      <c r="D42" s="11" t="n">
        <v>46541</v>
      </c>
    </row>
    <row r="43">
      <c r="A43" t="inlineStr">
        <is>
          <t>1.4.10</t>
        </is>
      </c>
      <c r="B43" t="inlineStr">
        <is>
          <t>Encerramento Contábil</t>
        </is>
      </c>
      <c r="C43" s="11" t="n">
        <v>46542</v>
      </c>
      <c r="D43" s="11" t="n">
        <v>46546</v>
      </c>
    </row>
    <row r="44">
      <c r="A44" s="2" t="inlineStr">
        <is>
          <t>1.5</t>
        </is>
      </c>
      <c r="B44" s="2" t="inlineStr">
        <is>
          <t>BLOCO 5 - 92118 - QS-4 de Araguaína IV - Instalação de 1 RL 13,8 kV</t>
        </is>
      </c>
      <c r="C44" s="10" t="n">
        <v>46462</v>
      </c>
      <c r="D44" s="10" t="n">
        <v>46546</v>
      </c>
    </row>
    <row r="45">
      <c r="A45" t="inlineStr">
        <is>
          <t>1.5.1</t>
        </is>
      </c>
      <c r="B45" t="inlineStr">
        <is>
          <t>Executar Obras</t>
        </is>
      </c>
      <c r="C45" s="11" t="n">
        <v>46462</v>
      </c>
      <c r="D45" s="11" t="n">
        <v>46492</v>
      </c>
    </row>
    <row r="46">
      <c r="A46" t="inlineStr">
        <is>
          <t>1.5.2</t>
        </is>
      </c>
      <c r="B46" t="inlineStr">
        <is>
          <t>Obras Concluídas (marco)</t>
        </is>
      </c>
      <c r="C46" s="11" t="n">
        <v>46492</v>
      </c>
      <c r="D46" s="11" t="n">
        <v>46492</v>
      </c>
    </row>
    <row r="47">
      <c r="A47" t="inlineStr">
        <is>
          <t>1.5.3</t>
        </is>
      </c>
      <c r="B47" t="inlineStr">
        <is>
          <t>Fiscalização</t>
        </is>
      </c>
      <c r="C47" s="11" t="n">
        <v>46493</v>
      </c>
      <c r="D47" s="11" t="n">
        <v>46505</v>
      </c>
    </row>
    <row r="48">
      <c r="A48" t="inlineStr">
        <is>
          <t>1.5.4</t>
        </is>
      </c>
      <c r="B48" t="inlineStr">
        <is>
          <t>Cadastro EO / Integração parcial</t>
        </is>
      </c>
      <c r="C48" s="11" t="n">
        <v>46506</v>
      </c>
      <c r="D48" s="11" t="n">
        <v>46516</v>
      </c>
    </row>
    <row r="49">
      <c r="A49" t="inlineStr">
        <is>
          <t>1.5.5</t>
        </is>
      </c>
      <c r="B49" t="inlineStr">
        <is>
          <t>Entrega do TCI pela empreiteira / Integração final</t>
        </is>
      </c>
      <c r="C49" s="11" t="n">
        <v>46517</v>
      </c>
      <c r="D49" s="11" t="n">
        <v>46532</v>
      </c>
    </row>
    <row r="50">
      <c r="A50" t="inlineStr">
        <is>
          <t>1.5.6</t>
        </is>
      </c>
      <c r="B50" t="inlineStr">
        <is>
          <t>Abertura de chamado / Atendimento GAT</t>
        </is>
      </c>
      <c r="C50" s="11" t="n">
        <v>46517</v>
      </c>
      <c r="D50" s="11" t="n">
        <v>46525</v>
      </c>
    </row>
    <row r="51">
      <c r="A51" t="inlineStr">
        <is>
          <t>1.5.7</t>
        </is>
      </c>
      <c r="B51" t="inlineStr">
        <is>
          <t>Comissionar Equipamentos</t>
        </is>
      </c>
      <c r="C51" s="11" t="n">
        <v>46517</v>
      </c>
      <c r="D51" s="11" t="n">
        <v>46532</v>
      </c>
    </row>
    <row r="52">
      <c r="A52" t="inlineStr">
        <is>
          <t>1.5.8</t>
        </is>
      </c>
      <c r="B52" t="inlineStr">
        <is>
          <t>Equipamentos em Operação / Energização (marco)</t>
        </is>
      </c>
      <c r="C52" s="11" t="n">
        <v>46532</v>
      </c>
      <c r="D52" s="11" t="n">
        <v>46532</v>
      </c>
    </row>
    <row r="53">
      <c r="A53" t="inlineStr">
        <is>
          <t>1.5.9</t>
        </is>
      </c>
      <c r="B53" t="inlineStr">
        <is>
          <t>Encerramento Técnico</t>
        </is>
      </c>
      <c r="C53" s="11" t="n">
        <v>46533</v>
      </c>
      <c r="D53" s="11" t="n">
        <v>46541</v>
      </c>
    </row>
    <row r="54">
      <c r="A54" t="inlineStr">
        <is>
          <t>1.5.10</t>
        </is>
      </c>
      <c r="B54" t="inlineStr">
        <is>
          <t>Encerramento Contábil</t>
        </is>
      </c>
      <c r="C54" s="11" t="n">
        <v>46542</v>
      </c>
      <c r="D54" s="11" t="n">
        <v>46546</v>
      </c>
    </row>
    <row r="55">
      <c r="A55" s="2" t="inlineStr">
        <is>
          <t>1.6</t>
        </is>
      </c>
      <c r="B55" s="2" t="inlineStr">
        <is>
          <t>BLOCO 6 - 70838 - LD Cristalândia - Lagoa da Confusão - Instalação de 1 RT 34,5 kV</t>
        </is>
      </c>
      <c r="C55" s="10" t="n">
        <v>46497</v>
      </c>
      <c r="D55" s="10" t="n">
        <v>46581</v>
      </c>
    </row>
    <row r="56">
      <c r="A56" t="inlineStr">
        <is>
          <t>1.6.1</t>
        </is>
      </c>
      <c r="B56" t="inlineStr">
        <is>
          <t>Executar Obras</t>
        </is>
      </c>
      <c r="C56" s="11" t="n">
        <v>46497</v>
      </c>
      <c r="D56" s="11" t="n">
        <v>46527</v>
      </c>
    </row>
    <row r="57">
      <c r="A57" t="inlineStr">
        <is>
          <t>1.6.2</t>
        </is>
      </c>
      <c r="B57" t="inlineStr">
        <is>
          <t>Obras Concluídas (marco)</t>
        </is>
      </c>
      <c r="C57" s="11" t="n">
        <v>46527</v>
      </c>
      <c r="D57" s="11" t="n">
        <v>46527</v>
      </c>
    </row>
    <row r="58">
      <c r="A58" t="inlineStr">
        <is>
          <t>1.6.3</t>
        </is>
      </c>
      <c r="B58" t="inlineStr">
        <is>
          <t>Fiscalização</t>
        </is>
      </c>
      <c r="C58" s="11" t="n">
        <v>46528</v>
      </c>
      <c r="D58" s="11" t="n">
        <v>46540</v>
      </c>
    </row>
    <row r="59">
      <c r="A59" t="inlineStr">
        <is>
          <t>1.6.4</t>
        </is>
      </c>
      <c r="B59" t="inlineStr">
        <is>
          <t>Cadastro EO / Integração parcial</t>
        </is>
      </c>
      <c r="C59" s="11" t="n">
        <v>46541</v>
      </c>
      <c r="D59" s="11" t="n">
        <v>46551</v>
      </c>
    </row>
    <row r="60">
      <c r="A60" t="inlineStr">
        <is>
          <t>1.6.5</t>
        </is>
      </c>
      <c r="B60" t="inlineStr">
        <is>
          <t>Entrega do TCI pela empreiteira / Integração final</t>
        </is>
      </c>
      <c r="C60" s="11" t="n">
        <v>46552</v>
      </c>
      <c r="D60" s="11" t="n">
        <v>46567</v>
      </c>
    </row>
    <row r="61">
      <c r="A61" t="inlineStr">
        <is>
          <t>1.6.6</t>
        </is>
      </c>
      <c r="B61" t="inlineStr">
        <is>
          <t>Comissionar Equipamentos</t>
        </is>
      </c>
      <c r="C61" s="11" t="n">
        <v>46552</v>
      </c>
      <c r="D61" s="11" t="n">
        <v>46567</v>
      </c>
    </row>
    <row r="62">
      <c r="A62" t="inlineStr">
        <is>
          <t>1.6.7</t>
        </is>
      </c>
      <c r="B62" t="inlineStr">
        <is>
          <t>Equipamentos em Operação / Energização (marco)</t>
        </is>
      </c>
      <c r="C62" s="11" t="n">
        <v>46567</v>
      </c>
      <c r="D62" s="11" t="n">
        <v>46567</v>
      </c>
    </row>
    <row r="63">
      <c r="A63" t="inlineStr">
        <is>
          <t>1.6.8</t>
        </is>
      </c>
      <c r="B63" t="inlineStr">
        <is>
          <t>Encerramento Técnico</t>
        </is>
      </c>
      <c r="C63" s="11" t="n">
        <v>46568</v>
      </c>
      <c r="D63" s="11" t="n">
        <v>46576</v>
      </c>
    </row>
    <row r="64">
      <c r="A64" t="inlineStr">
        <is>
          <t>1.6.9</t>
        </is>
      </c>
      <c r="B64" t="inlineStr">
        <is>
          <t>Encerramento Contábil</t>
        </is>
      </c>
      <c r="C64" s="11" t="n">
        <v>46577</v>
      </c>
      <c r="D64" s="11" t="n">
        <v>46581</v>
      </c>
    </row>
    <row r="65">
      <c r="A65" s="2" t="inlineStr">
        <is>
          <t>1.7</t>
        </is>
      </c>
      <c r="B65" s="2" t="inlineStr">
        <is>
          <t>BLOCO 7 - 70978 - LD Paraíso I - Caseara - 2PR0 - Instalação de 1 RT 34,5 kV</t>
        </is>
      </c>
      <c r="C65" s="10" t="n">
        <v>46497</v>
      </c>
      <c r="D65" s="10" t="n">
        <v>46581</v>
      </c>
    </row>
    <row r="66">
      <c r="A66" t="inlineStr">
        <is>
          <t>1.7.1</t>
        </is>
      </c>
      <c r="B66" t="inlineStr">
        <is>
          <t>Executar Obras</t>
        </is>
      </c>
      <c r="C66" s="11" t="n">
        <v>46497</v>
      </c>
      <c r="D66" s="11" t="n">
        <v>46527</v>
      </c>
    </row>
    <row r="67">
      <c r="A67" t="inlineStr">
        <is>
          <t>1.7.2</t>
        </is>
      </c>
      <c r="B67" t="inlineStr">
        <is>
          <t>Obras Concluídas (marco)</t>
        </is>
      </c>
      <c r="C67" s="11" t="n">
        <v>46527</v>
      </c>
      <c r="D67" s="11" t="n">
        <v>46527</v>
      </c>
    </row>
    <row r="68">
      <c r="A68" t="inlineStr">
        <is>
          <t>1.7.3</t>
        </is>
      </c>
      <c r="B68" t="inlineStr">
        <is>
          <t>Fiscalização</t>
        </is>
      </c>
      <c r="C68" s="11" t="n">
        <v>46528</v>
      </c>
      <c r="D68" s="11" t="n">
        <v>46540</v>
      </c>
    </row>
    <row r="69">
      <c r="A69" t="inlineStr">
        <is>
          <t>1.7.4</t>
        </is>
      </c>
      <c r="B69" t="inlineStr">
        <is>
          <t>Cadastro EO / Integração parcial</t>
        </is>
      </c>
      <c r="C69" s="11" t="n">
        <v>46541</v>
      </c>
      <c r="D69" s="11" t="n">
        <v>46551</v>
      </c>
    </row>
    <row r="70">
      <c r="A70" t="inlineStr">
        <is>
          <t>1.7.5</t>
        </is>
      </c>
      <c r="B70" t="inlineStr">
        <is>
          <t>Entrega do TCI pela empreiteira / Integração final</t>
        </is>
      </c>
      <c r="C70" s="11" t="n">
        <v>46552</v>
      </c>
      <c r="D70" s="11" t="n">
        <v>46567</v>
      </c>
    </row>
    <row r="71">
      <c r="A71" t="inlineStr">
        <is>
          <t>1.7.6</t>
        </is>
      </c>
      <c r="B71" t="inlineStr">
        <is>
          <t>Comissionar Equipamentos</t>
        </is>
      </c>
      <c r="C71" s="11" t="n">
        <v>46552</v>
      </c>
      <c r="D71" s="11" t="n">
        <v>46567</v>
      </c>
    </row>
    <row r="72">
      <c r="A72" t="inlineStr">
        <is>
          <t>1.7.7</t>
        </is>
      </c>
      <c r="B72" t="inlineStr">
        <is>
          <t>Equipamentos em Operação / Energização (marco)</t>
        </is>
      </c>
      <c r="C72" s="11" t="n">
        <v>46567</v>
      </c>
      <c r="D72" s="11" t="n">
        <v>46567</v>
      </c>
    </row>
    <row r="73">
      <c r="A73" t="inlineStr">
        <is>
          <t>1.7.8</t>
        </is>
      </c>
      <c r="B73" t="inlineStr">
        <is>
          <t>Encerramento Técnico</t>
        </is>
      </c>
      <c r="C73" s="11" t="n">
        <v>46568</v>
      </c>
      <c r="D73" s="11" t="n">
        <v>46576</v>
      </c>
    </row>
    <row r="74">
      <c r="A74" t="inlineStr">
        <is>
          <t>1.7.9</t>
        </is>
      </c>
      <c r="B74" t="inlineStr">
        <is>
          <t>Encerramento Contábil</t>
        </is>
      </c>
      <c r="C74" s="11" t="n">
        <v>46577</v>
      </c>
      <c r="D74" s="11" t="n">
        <v>46581</v>
      </c>
    </row>
    <row r="75">
      <c r="A75" s="2" t="inlineStr">
        <is>
          <t>1.8</t>
        </is>
      </c>
      <c r="B75" s="2" t="inlineStr">
        <is>
          <t>BLOCO 8 - 92094 - QS-LD Palmas - Aparecida do Rio Negro - Instalação de 3 RL 34,5 kV</t>
        </is>
      </c>
      <c r="C75" s="10" t="n">
        <v>46497</v>
      </c>
      <c r="D75" s="10" t="n">
        <v>46581</v>
      </c>
    </row>
    <row r="76">
      <c r="A76" t="inlineStr">
        <is>
          <t>1.8.1</t>
        </is>
      </c>
      <c r="B76" t="inlineStr">
        <is>
          <t>Executar Obras</t>
        </is>
      </c>
      <c r="C76" s="11" t="n">
        <v>46497</v>
      </c>
      <c r="D76" s="11" t="n">
        <v>46527</v>
      </c>
    </row>
    <row r="77">
      <c r="A77" t="inlineStr">
        <is>
          <t>1.8.2</t>
        </is>
      </c>
      <c r="B77" t="inlineStr">
        <is>
          <t>Obras Concluídas (marco)</t>
        </is>
      </c>
      <c r="C77" s="11" t="n">
        <v>46527</v>
      </c>
      <c r="D77" s="11" t="n">
        <v>46527</v>
      </c>
    </row>
    <row r="78">
      <c r="A78" t="inlineStr">
        <is>
          <t>1.8.3</t>
        </is>
      </c>
      <c r="B78" t="inlineStr">
        <is>
          <t>Fiscalização</t>
        </is>
      </c>
      <c r="C78" s="11" t="n">
        <v>46528</v>
      </c>
      <c r="D78" s="11" t="n">
        <v>46540</v>
      </c>
    </row>
    <row r="79">
      <c r="A79" t="inlineStr">
        <is>
          <t>1.8.4</t>
        </is>
      </c>
      <c r="B79" t="inlineStr">
        <is>
          <t>Cadastro EO / Integração parcial</t>
        </is>
      </c>
      <c r="C79" s="11" t="n">
        <v>46541</v>
      </c>
      <c r="D79" s="11" t="n">
        <v>46551</v>
      </c>
    </row>
    <row r="80">
      <c r="A80" t="inlineStr">
        <is>
          <t>1.8.5</t>
        </is>
      </c>
      <c r="B80" t="inlineStr">
        <is>
          <t>Entrega do TCI pela empreiteira / Integração final</t>
        </is>
      </c>
      <c r="C80" s="11" t="n">
        <v>46552</v>
      </c>
      <c r="D80" s="11" t="n">
        <v>46567</v>
      </c>
    </row>
    <row r="81">
      <c r="A81" t="inlineStr">
        <is>
          <t>1.8.6</t>
        </is>
      </c>
      <c r="B81" t="inlineStr">
        <is>
          <t>Abertura de chamado / Atendimento GAT</t>
        </is>
      </c>
      <c r="C81" s="11" t="n">
        <v>46552</v>
      </c>
      <c r="D81" s="11" t="n">
        <v>46560</v>
      </c>
    </row>
    <row r="82">
      <c r="A82" t="inlineStr">
        <is>
          <t>1.8.7</t>
        </is>
      </c>
      <c r="B82" t="inlineStr">
        <is>
          <t>Comissionar Equipamentos</t>
        </is>
      </c>
      <c r="C82" s="11" t="n">
        <v>46552</v>
      </c>
      <c r="D82" s="11" t="n">
        <v>46567</v>
      </c>
    </row>
    <row r="83">
      <c r="A83" t="inlineStr">
        <is>
          <t>1.8.8</t>
        </is>
      </c>
      <c r="B83" t="inlineStr">
        <is>
          <t>Equipamentos em Operação / Energização (marco)</t>
        </is>
      </c>
      <c r="C83" s="11" t="n">
        <v>46567</v>
      </c>
      <c r="D83" s="11" t="n">
        <v>46567</v>
      </c>
    </row>
    <row r="84">
      <c r="A84" t="inlineStr">
        <is>
          <t>1.8.9</t>
        </is>
      </c>
      <c r="B84" t="inlineStr">
        <is>
          <t>Encerramento Técnico</t>
        </is>
      </c>
      <c r="C84" s="11" t="n">
        <v>46568</v>
      </c>
      <c r="D84" s="11" t="n">
        <v>46576</v>
      </c>
    </row>
    <row r="85">
      <c r="A85" t="inlineStr">
        <is>
          <t>1.8.10</t>
        </is>
      </c>
      <c r="B85" t="inlineStr">
        <is>
          <t>Encerramento Contábil</t>
        </is>
      </c>
      <c r="C85" s="11" t="n">
        <v>46577</v>
      </c>
      <c r="D85" s="11" t="n">
        <v>46581</v>
      </c>
    </row>
    <row r="86">
      <c r="A86" s="2" t="inlineStr">
        <is>
          <t>1.9</t>
        </is>
      </c>
      <c r="B86" s="2" t="inlineStr">
        <is>
          <t>BLOCO 9 - 92095 - QS-LD Palmas - Lajeado - Instalação de 1 RL 34,5 kV</t>
        </is>
      </c>
      <c r="C86" s="10" t="n">
        <v>46497</v>
      </c>
      <c r="D86" s="10" t="n">
        <v>46581</v>
      </c>
    </row>
    <row r="87">
      <c r="A87" t="inlineStr">
        <is>
          <t>1.9.1</t>
        </is>
      </c>
      <c r="B87" t="inlineStr">
        <is>
          <t>Executar Obras</t>
        </is>
      </c>
      <c r="C87" s="11" t="n">
        <v>46497</v>
      </c>
      <c r="D87" s="11" t="n">
        <v>46527</v>
      </c>
    </row>
    <row r="88">
      <c r="A88" t="inlineStr">
        <is>
          <t>1.9.2</t>
        </is>
      </c>
      <c r="B88" t="inlineStr">
        <is>
          <t>Obras Concluídas (marco)</t>
        </is>
      </c>
      <c r="C88" s="11" t="n">
        <v>46527</v>
      </c>
      <c r="D88" s="11" t="n">
        <v>46527</v>
      </c>
    </row>
    <row r="89">
      <c r="A89" t="inlineStr">
        <is>
          <t>1.9.3</t>
        </is>
      </c>
      <c r="B89" t="inlineStr">
        <is>
          <t>Fiscalização</t>
        </is>
      </c>
      <c r="C89" s="11" t="n">
        <v>46528</v>
      </c>
      <c r="D89" s="11" t="n">
        <v>46540</v>
      </c>
    </row>
    <row r="90">
      <c r="A90" t="inlineStr">
        <is>
          <t>1.9.4</t>
        </is>
      </c>
      <c r="B90" t="inlineStr">
        <is>
          <t>Cadastro EO / Integração parcial</t>
        </is>
      </c>
      <c r="C90" s="11" t="n">
        <v>46541</v>
      </c>
      <c r="D90" s="11" t="n">
        <v>46551</v>
      </c>
    </row>
    <row r="91">
      <c r="A91" t="inlineStr">
        <is>
          <t>1.9.5</t>
        </is>
      </c>
      <c r="B91" t="inlineStr">
        <is>
          <t>Entrega do TCI pela empreiteira / Integração final</t>
        </is>
      </c>
      <c r="C91" s="11" t="n">
        <v>46552</v>
      </c>
      <c r="D91" s="11" t="n">
        <v>46567</v>
      </c>
    </row>
    <row r="92">
      <c r="A92" t="inlineStr">
        <is>
          <t>1.9.6</t>
        </is>
      </c>
      <c r="B92" t="inlineStr">
        <is>
          <t>Abertura de chamado / Atendimento GAT</t>
        </is>
      </c>
      <c r="C92" s="11" t="n">
        <v>46552</v>
      </c>
      <c r="D92" s="11" t="n">
        <v>46560</v>
      </c>
    </row>
    <row r="93">
      <c r="A93" t="inlineStr">
        <is>
          <t>1.9.7</t>
        </is>
      </c>
      <c r="B93" t="inlineStr">
        <is>
          <t>Comissionar Equipamentos</t>
        </is>
      </c>
      <c r="C93" s="11" t="n">
        <v>46552</v>
      </c>
      <c r="D93" s="11" t="n">
        <v>46567</v>
      </c>
    </row>
    <row r="94">
      <c r="A94" t="inlineStr">
        <is>
          <t>1.9.8</t>
        </is>
      </c>
      <c r="B94" t="inlineStr">
        <is>
          <t>Equipamentos em Operação / Energização (marco)</t>
        </is>
      </c>
      <c r="C94" s="11" t="n">
        <v>46567</v>
      </c>
      <c r="D94" s="11" t="n">
        <v>46567</v>
      </c>
    </row>
    <row r="95">
      <c r="A95" t="inlineStr">
        <is>
          <t>1.9.9</t>
        </is>
      </c>
      <c r="B95" t="inlineStr">
        <is>
          <t>Encerramento Técnico</t>
        </is>
      </c>
      <c r="C95" s="11" t="n">
        <v>46568</v>
      </c>
      <c r="D95" s="11" t="n">
        <v>46576</v>
      </c>
    </row>
    <row r="96">
      <c r="A96" t="inlineStr">
        <is>
          <t>1.9.10</t>
        </is>
      </c>
      <c r="B96" t="inlineStr">
        <is>
          <t>Encerramento Contábil</t>
        </is>
      </c>
      <c r="C96" s="11" t="n">
        <v>46577</v>
      </c>
      <c r="D96" s="11" t="n">
        <v>46581</v>
      </c>
    </row>
    <row r="97">
      <c r="A97" s="2" t="inlineStr">
        <is>
          <t>1.10</t>
        </is>
      </c>
      <c r="B97" s="2" t="inlineStr">
        <is>
          <t>BLOCO 10 - 92101 - QS-8 de Palmas IV - Instalação de 1 RL 13,8 kV</t>
        </is>
      </c>
      <c r="C97" s="10" t="n">
        <v>46497</v>
      </c>
      <c r="D97" s="10" t="n">
        <v>46581</v>
      </c>
    </row>
    <row r="98">
      <c r="A98" t="inlineStr">
        <is>
          <t>1.10.1</t>
        </is>
      </c>
      <c r="B98" t="inlineStr">
        <is>
          <t>Executar Obras</t>
        </is>
      </c>
      <c r="C98" s="11" t="n">
        <v>46497</v>
      </c>
      <c r="D98" s="11" t="n">
        <v>46527</v>
      </c>
    </row>
    <row r="99">
      <c r="A99" t="inlineStr">
        <is>
          <t>1.10.2</t>
        </is>
      </c>
      <c r="B99" t="inlineStr">
        <is>
          <t>Obras Concluídas (marco)</t>
        </is>
      </c>
      <c r="C99" s="11" t="n">
        <v>46527</v>
      </c>
      <c r="D99" s="11" t="n">
        <v>46527</v>
      </c>
    </row>
    <row r="100">
      <c r="A100" t="inlineStr">
        <is>
          <t>1.10.3</t>
        </is>
      </c>
      <c r="B100" t="inlineStr">
        <is>
          <t>Fiscalização</t>
        </is>
      </c>
      <c r="C100" s="11" t="n">
        <v>46528</v>
      </c>
      <c r="D100" s="11" t="n">
        <v>46540</v>
      </c>
    </row>
    <row r="101">
      <c r="A101" t="inlineStr">
        <is>
          <t>1.10.4</t>
        </is>
      </c>
      <c r="B101" t="inlineStr">
        <is>
          <t>Cadastro EO / Integração parcial</t>
        </is>
      </c>
      <c r="C101" s="11" t="n">
        <v>46541</v>
      </c>
      <c r="D101" s="11" t="n">
        <v>46551</v>
      </c>
    </row>
    <row r="102">
      <c r="A102" t="inlineStr">
        <is>
          <t>1.10.5</t>
        </is>
      </c>
      <c r="B102" t="inlineStr">
        <is>
          <t>Entrega do TCI pela empreiteira / Integração final</t>
        </is>
      </c>
      <c r="C102" s="11" t="n">
        <v>46552</v>
      </c>
      <c r="D102" s="11" t="n">
        <v>46567</v>
      </c>
    </row>
    <row r="103">
      <c r="A103" t="inlineStr">
        <is>
          <t>1.10.6</t>
        </is>
      </c>
      <c r="B103" t="inlineStr">
        <is>
          <t>Abertura de chamado / Atendimento GAT</t>
        </is>
      </c>
      <c r="C103" s="11" t="n">
        <v>46552</v>
      </c>
      <c r="D103" s="11" t="n">
        <v>46560</v>
      </c>
    </row>
    <row r="104">
      <c r="A104" t="inlineStr">
        <is>
          <t>1.10.7</t>
        </is>
      </c>
      <c r="B104" t="inlineStr">
        <is>
          <t>Comissionar Equipamentos</t>
        </is>
      </c>
      <c r="C104" s="11" t="n">
        <v>46552</v>
      </c>
      <c r="D104" s="11" t="n">
        <v>46567</v>
      </c>
    </row>
    <row r="105">
      <c r="A105" t="inlineStr">
        <is>
          <t>1.10.8</t>
        </is>
      </c>
      <c r="B105" t="inlineStr">
        <is>
          <t>Equipamentos em Operação / Energização (marco)</t>
        </is>
      </c>
      <c r="C105" s="11" t="n">
        <v>46567</v>
      </c>
      <c r="D105" s="11" t="n">
        <v>46567</v>
      </c>
    </row>
    <row r="106">
      <c r="A106" t="inlineStr">
        <is>
          <t>1.10.9</t>
        </is>
      </c>
      <c r="B106" t="inlineStr">
        <is>
          <t>Encerramento Técnico</t>
        </is>
      </c>
      <c r="C106" s="11" t="n">
        <v>46568</v>
      </c>
      <c r="D106" s="11" t="n">
        <v>46576</v>
      </c>
    </row>
    <row r="107">
      <c r="A107" t="inlineStr">
        <is>
          <t>1.10.10</t>
        </is>
      </c>
      <c r="B107" t="inlineStr">
        <is>
          <t>Encerramento Contábil</t>
        </is>
      </c>
      <c r="C107" s="11" t="n">
        <v>46577</v>
      </c>
      <c r="D107" s="11" t="n">
        <v>46581</v>
      </c>
    </row>
    <row r="108">
      <c r="A108" s="2" t="inlineStr">
        <is>
          <t>1.11</t>
        </is>
      </c>
      <c r="B108" s="2" t="inlineStr">
        <is>
          <t>BLOCO 11 - 92102 - QS-6 de Palmas IV - Instalação de 1 RL 13,8 kV</t>
        </is>
      </c>
      <c r="C108" s="10" t="n">
        <v>46497</v>
      </c>
      <c r="D108" s="10" t="n">
        <v>46581</v>
      </c>
    </row>
    <row r="109">
      <c r="A109" t="inlineStr">
        <is>
          <t>1.11.1</t>
        </is>
      </c>
      <c r="B109" t="inlineStr">
        <is>
          <t>Executar Obras</t>
        </is>
      </c>
      <c r="C109" s="11" t="n">
        <v>46497</v>
      </c>
      <c r="D109" s="11" t="n">
        <v>46527</v>
      </c>
    </row>
    <row r="110">
      <c r="A110" t="inlineStr">
        <is>
          <t>1.11.2</t>
        </is>
      </c>
      <c r="B110" t="inlineStr">
        <is>
          <t>Obras Concluídas (marco)</t>
        </is>
      </c>
      <c r="C110" s="11" t="n">
        <v>46527</v>
      </c>
      <c r="D110" s="11" t="n">
        <v>46527</v>
      </c>
    </row>
    <row r="111">
      <c r="A111" t="inlineStr">
        <is>
          <t>1.11.3</t>
        </is>
      </c>
      <c r="B111" t="inlineStr">
        <is>
          <t>Fiscalização</t>
        </is>
      </c>
      <c r="C111" s="11" t="n">
        <v>46528</v>
      </c>
      <c r="D111" s="11" t="n">
        <v>46540</v>
      </c>
    </row>
    <row r="112">
      <c r="A112" t="inlineStr">
        <is>
          <t>1.11.4</t>
        </is>
      </c>
      <c r="B112" t="inlineStr">
        <is>
          <t>Cadastro EO / Integração parcial</t>
        </is>
      </c>
      <c r="C112" s="11" t="n">
        <v>46541</v>
      </c>
      <c r="D112" s="11" t="n">
        <v>46551</v>
      </c>
    </row>
    <row r="113">
      <c r="A113" t="inlineStr">
        <is>
          <t>1.11.5</t>
        </is>
      </c>
      <c r="B113" t="inlineStr">
        <is>
          <t>Entrega do TCI pela empreiteira / Integração final</t>
        </is>
      </c>
      <c r="C113" s="11" t="n">
        <v>46552</v>
      </c>
      <c r="D113" s="11" t="n">
        <v>46567</v>
      </c>
    </row>
    <row r="114">
      <c r="A114" t="inlineStr">
        <is>
          <t>1.11.6</t>
        </is>
      </c>
      <c r="B114" t="inlineStr">
        <is>
          <t>Abertura de chamado / Atendimento GAT</t>
        </is>
      </c>
      <c r="C114" s="11" t="n">
        <v>46552</v>
      </c>
      <c r="D114" s="11" t="n">
        <v>46560</v>
      </c>
    </row>
    <row r="115">
      <c r="A115" t="inlineStr">
        <is>
          <t>1.11.7</t>
        </is>
      </c>
      <c r="B115" t="inlineStr">
        <is>
          <t>Comissionar Equipamentos</t>
        </is>
      </c>
      <c r="C115" s="11" t="n">
        <v>46552</v>
      </c>
      <c r="D115" s="11" t="n">
        <v>46567</v>
      </c>
    </row>
    <row r="116">
      <c r="A116" t="inlineStr">
        <is>
          <t>1.11.8</t>
        </is>
      </c>
      <c r="B116" t="inlineStr">
        <is>
          <t>Equipamentos em Operação / Energização (marco)</t>
        </is>
      </c>
      <c r="C116" s="11" t="n">
        <v>46567</v>
      </c>
      <c r="D116" s="11" t="n">
        <v>46567</v>
      </c>
    </row>
    <row r="117">
      <c r="A117" t="inlineStr">
        <is>
          <t>1.11.9</t>
        </is>
      </c>
      <c r="B117" t="inlineStr">
        <is>
          <t>Encerramento Técnico</t>
        </is>
      </c>
      <c r="C117" s="11" t="n">
        <v>46568</v>
      </c>
      <c r="D117" s="11" t="n">
        <v>46576</v>
      </c>
    </row>
    <row r="118">
      <c r="A118" t="inlineStr">
        <is>
          <t>1.11.10</t>
        </is>
      </c>
      <c r="B118" t="inlineStr">
        <is>
          <t>Encerramento Contábil</t>
        </is>
      </c>
      <c r="C118" s="11" t="n">
        <v>46577</v>
      </c>
      <c r="D118" s="11" t="n">
        <v>46581</v>
      </c>
    </row>
    <row r="119">
      <c r="A119" s="2" t="inlineStr">
        <is>
          <t>1.12</t>
        </is>
      </c>
      <c r="B119" s="2" t="inlineStr">
        <is>
          <t>BLOCO 12 - 89249 - LD Araguaína - Babaçulândia - 2AR0 - Instalação de 1 RT 34,5 kV</t>
        </is>
      </c>
      <c r="C119" s="10" t="n">
        <v>46560</v>
      </c>
      <c r="D119" s="10" t="n">
        <v>46644</v>
      </c>
    </row>
    <row r="120">
      <c r="A120" t="inlineStr">
        <is>
          <t>1.12.1</t>
        </is>
      </c>
      <c r="B120" t="inlineStr">
        <is>
          <t>Executar Obras</t>
        </is>
      </c>
      <c r="C120" s="11" t="n">
        <v>46560</v>
      </c>
      <c r="D120" s="11" t="n">
        <v>46590</v>
      </c>
    </row>
    <row r="121">
      <c r="A121" t="inlineStr">
        <is>
          <t>1.12.2</t>
        </is>
      </c>
      <c r="B121" t="inlineStr">
        <is>
          <t>Obras Concluídas (marco)</t>
        </is>
      </c>
      <c r="C121" s="11" t="n">
        <v>46590</v>
      </c>
      <c r="D121" s="11" t="n">
        <v>46590</v>
      </c>
    </row>
    <row r="122">
      <c r="A122" t="inlineStr">
        <is>
          <t>1.12.3</t>
        </is>
      </c>
      <c r="B122" t="inlineStr">
        <is>
          <t>Fiscalização</t>
        </is>
      </c>
      <c r="C122" s="11" t="n">
        <v>46591</v>
      </c>
      <c r="D122" s="11" t="n">
        <v>46603</v>
      </c>
    </row>
    <row r="123">
      <c r="A123" t="inlineStr">
        <is>
          <t>1.12.4</t>
        </is>
      </c>
      <c r="B123" t="inlineStr">
        <is>
          <t>Cadastro EO / Integração parcial</t>
        </is>
      </c>
      <c r="C123" s="11" t="n">
        <v>46604</v>
      </c>
      <c r="D123" s="11" t="n">
        <v>46614</v>
      </c>
    </row>
    <row r="124">
      <c r="A124" t="inlineStr">
        <is>
          <t>1.12.5</t>
        </is>
      </c>
      <c r="B124" t="inlineStr">
        <is>
          <t>Entrega do TCI pela empreiteira / Integração final</t>
        </is>
      </c>
      <c r="C124" s="11" t="n">
        <v>46615</v>
      </c>
      <c r="D124" s="11" t="n">
        <v>46630</v>
      </c>
    </row>
    <row r="125">
      <c r="A125" t="inlineStr">
        <is>
          <t>1.12.6</t>
        </is>
      </c>
      <c r="B125" t="inlineStr">
        <is>
          <t>Comissionar Equipamentos</t>
        </is>
      </c>
      <c r="C125" s="11" t="n">
        <v>46615</v>
      </c>
      <c r="D125" s="11" t="n">
        <v>46630</v>
      </c>
    </row>
    <row r="126">
      <c r="A126" t="inlineStr">
        <is>
          <t>1.12.7</t>
        </is>
      </c>
      <c r="B126" t="inlineStr">
        <is>
          <t>Equipamentos em Operação / Energização (marco)</t>
        </is>
      </c>
      <c r="C126" s="11" t="n">
        <v>46630</v>
      </c>
      <c r="D126" s="11" t="n">
        <v>46630</v>
      </c>
    </row>
    <row r="127">
      <c r="A127" t="inlineStr">
        <is>
          <t>1.12.8</t>
        </is>
      </c>
      <c r="B127" t="inlineStr">
        <is>
          <t>Encerramento Técnico</t>
        </is>
      </c>
      <c r="C127" s="11" t="n">
        <v>46631</v>
      </c>
      <c r="D127" s="11" t="n">
        <v>46639</v>
      </c>
    </row>
    <row r="128">
      <c r="A128" t="inlineStr">
        <is>
          <t>1.12.9</t>
        </is>
      </c>
      <c r="B128" t="inlineStr">
        <is>
          <t>Encerramento Contábil</t>
        </is>
      </c>
      <c r="C128" s="11" t="n">
        <v>46640</v>
      </c>
      <c r="D128" s="11" t="n">
        <v>46644</v>
      </c>
    </row>
    <row r="129">
      <c r="A129" s="2" t="inlineStr">
        <is>
          <t>1.13</t>
        </is>
      </c>
      <c r="B129" s="2" t="inlineStr">
        <is>
          <t>BLOCO 13 - 89307 - 1 de Figueirópolis - 2FGR - Instalação de 1 RT 13,8 kV + remanejamento de 1 RL</t>
        </is>
      </c>
      <c r="C129" s="10" t="n">
        <v>46560</v>
      </c>
      <c r="D129" s="10" t="n">
        <v>46644</v>
      </c>
    </row>
    <row r="130">
      <c r="A130" t="inlineStr">
        <is>
          <t>1.13.1</t>
        </is>
      </c>
      <c r="B130" t="inlineStr">
        <is>
          <t>Executar Obras</t>
        </is>
      </c>
      <c r="C130" s="11" t="n">
        <v>46560</v>
      </c>
      <c r="D130" s="11" t="n">
        <v>46590</v>
      </c>
    </row>
    <row r="131">
      <c r="A131" t="inlineStr">
        <is>
          <t>1.13.2</t>
        </is>
      </c>
      <c r="B131" t="inlineStr">
        <is>
          <t>Obras Concluídas (marco)</t>
        </is>
      </c>
      <c r="C131" s="11" t="n">
        <v>46590</v>
      </c>
      <c r="D131" s="11" t="n">
        <v>46590</v>
      </c>
    </row>
    <row r="132">
      <c r="A132" t="inlineStr">
        <is>
          <t>1.13.3</t>
        </is>
      </c>
      <c r="B132" t="inlineStr">
        <is>
          <t>Fiscalização</t>
        </is>
      </c>
      <c r="C132" s="11" t="n">
        <v>46591</v>
      </c>
      <c r="D132" s="11" t="n">
        <v>46603</v>
      </c>
    </row>
    <row r="133">
      <c r="A133" t="inlineStr">
        <is>
          <t>1.13.4</t>
        </is>
      </c>
      <c r="B133" t="inlineStr">
        <is>
          <t>Cadastro EO / Integração parcial</t>
        </is>
      </c>
      <c r="C133" s="11" t="n">
        <v>46604</v>
      </c>
      <c r="D133" s="11" t="n">
        <v>46614</v>
      </c>
    </row>
    <row r="134">
      <c r="A134" t="inlineStr">
        <is>
          <t>1.13.5</t>
        </is>
      </c>
      <c r="B134" t="inlineStr">
        <is>
          <t>Entrega do TCI pela empreiteira / Integração final</t>
        </is>
      </c>
      <c r="C134" s="11" t="n">
        <v>46615</v>
      </c>
      <c r="D134" s="11" t="n">
        <v>46630</v>
      </c>
    </row>
    <row r="135">
      <c r="A135" t="inlineStr">
        <is>
          <t>1.13.6</t>
        </is>
      </c>
      <c r="B135" t="inlineStr">
        <is>
          <t>Abertura de chamado / Atendimento GAT</t>
        </is>
      </c>
      <c r="C135" s="11" t="n">
        <v>46615</v>
      </c>
      <c r="D135" s="11" t="n">
        <v>46623</v>
      </c>
    </row>
    <row r="136">
      <c r="A136" t="inlineStr">
        <is>
          <t>1.13.7</t>
        </is>
      </c>
      <c r="B136" t="inlineStr">
        <is>
          <t>Comissionar Equipamentos</t>
        </is>
      </c>
      <c r="C136" s="11" t="n">
        <v>46615</v>
      </c>
      <c r="D136" s="11" t="n">
        <v>46630</v>
      </c>
    </row>
    <row r="137">
      <c r="A137" t="inlineStr">
        <is>
          <t>1.13.8</t>
        </is>
      </c>
      <c r="B137" t="inlineStr">
        <is>
          <t>Equipamentos em Operação / Energização (marco)</t>
        </is>
      </c>
      <c r="C137" s="11" t="n">
        <v>46630</v>
      </c>
      <c r="D137" s="11" t="n">
        <v>46630</v>
      </c>
    </row>
    <row r="138">
      <c r="A138" t="inlineStr">
        <is>
          <t>1.13.9</t>
        </is>
      </c>
      <c r="B138" t="inlineStr">
        <is>
          <t>Encerramento Técnico</t>
        </is>
      </c>
      <c r="C138" s="11" t="n">
        <v>46631</v>
      </c>
      <c r="D138" s="11" t="n">
        <v>46639</v>
      </c>
    </row>
    <row r="139">
      <c r="A139" t="inlineStr">
        <is>
          <t>1.13.10</t>
        </is>
      </c>
      <c r="B139" t="inlineStr">
        <is>
          <t>Encerramento Contábil</t>
        </is>
      </c>
      <c r="C139" s="11" t="n">
        <v>46640</v>
      </c>
      <c r="D139" s="11" t="n">
        <v>46644</v>
      </c>
    </row>
  </sheetData>
  <conditionalFormatting sqref="E2:AL139">
    <cfRule type="expression" priority="1" dxfId="0" stopIfTrue="1">
      <formula>AND(LEN($A2)-LEN(SUBSTITUTE($A2,".",""))=1,$C2&lt;=E$1+6,$D2&gt;=E$1)</formula>
    </cfRule>
    <cfRule type="expression" priority="2" dxfId="1" stopIfTrue="1">
      <formula>AND($C2=$D2,$C2&lt;=E$1+6,$D2&gt;=E$1)</formula>
    </cfRule>
    <cfRule type="expression" priority="3" dxfId="2" stopIfTrue="1">
      <formula>AND(ISNUMBER(SEARCH("Executar",$B2)),$C2&lt;=E$1+6,$D2&gt;=E$1)</formula>
    </cfRule>
    <cfRule type="expression" priority="4" dxfId="3" stopIfTrue="1">
      <formula>AND(ISNUMBER(SEARCH("Encerramento",$B2)),$C2&lt;=E$1+6,$D2&gt;=E$1)</formula>
    </cfRule>
    <cfRule type="expression" priority="5" dxfId="4" stopIfTrue="1">
      <formula>AND(ISNUMBER(SEARCH("Comission",$B2)),$C2&lt;=E$1+6,$D2&gt;=E$1)</formula>
    </cfRule>
    <cfRule type="expression" priority="6" dxfId="5">
      <formula>AND($C2&lt;=E$1+6,$D2&gt;=E$1)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2" max="2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2" t="inlineStr">
        <is>
          <t>SIGCO</t>
        </is>
      </c>
      <c r="B1" s="12" t="inlineStr">
        <is>
          <t>Projeto</t>
        </is>
      </c>
      <c r="C1" s="12" t="inlineStr">
        <is>
          <t>Tipo</t>
        </is>
      </c>
      <c r="D1" s="12" t="inlineStr">
        <is>
          <t>Energização (PN)</t>
        </is>
      </c>
      <c r="E1" s="12" t="inlineStr">
        <is>
          <t>Jan</t>
        </is>
      </c>
      <c r="F1" s="12" t="inlineStr">
        <is>
          <t>Fev</t>
        </is>
      </c>
      <c r="G1" s="12" t="inlineStr">
        <is>
          <t>Mar</t>
        </is>
      </c>
      <c r="H1" s="12" t="inlineStr">
        <is>
          <t>Abr</t>
        </is>
      </c>
      <c r="I1" s="12" t="inlineStr">
        <is>
          <t>Mai</t>
        </is>
      </c>
      <c r="J1" s="12" t="inlineStr">
        <is>
          <t>Jun</t>
        </is>
      </c>
      <c r="K1" s="12" t="inlineStr">
        <is>
          <t>Jul</t>
        </is>
      </c>
      <c r="L1" s="12" t="inlineStr">
        <is>
          <t>Ago</t>
        </is>
      </c>
      <c r="M1" s="12" t="inlineStr">
        <is>
          <t>Set</t>
        </is>
      </c>
      <c r="N1" s="12" t="inlineStr">
        <is>
          <t>Out</t>
        </is>
      </c>
      <c r="O1" s="12" t="inlineStr">
        <is>
          <t>Nov</t>
        </is>
      </c>
      <c r="P1" s="12" t="inlineStr">
        <is>
          <t>Dez</t>
        </is>
      </c>
      <c r="Q1" s="12" t="inlineStr">
        <is>
          <t>Total 2027 (R$)</t>
        </is>
      </c>
      <c r="R1" s="12" t="inlineStr">
        <is>
          <t>Base ago/26 (R$)</t>
        </is>
      </c>
      <c r="S1" s="12" t="inlineStr">
        <is>
          <t>Δ (R$)</t>
        </is>
      </c>
    </row>
    <row r="2">
      <c r="A2" t="n">
        <v>90811</v>
      </c>
      <c r="B2" t="inlineStr">
        <is>
          <t>Instalação de RL e RT - LD UHE Isamu - Ponte Alta - 1UI1 - QP</t>
        </is>
      </c>
      <c r="C2" t="inlineStr">
        <is>
          <t>QP</t>
        </is>
      </c>
      <c r="D2" s="13" t="n">
        <v>46478</v>
      </c>
      <c r="E2" s="14" t="n">
        <v>143320.11</v>
      </c>
      <c r="F2" s="14" t="n">
        <v>143320.11</v>
      </c>
      <c r="G2" s="14" t="n">
        <v>143320.11</v>
      </c>
      <c r="H2" s="14" t="n">
        <v>143320.11</v>
      </c>
      <c r="I2" s="14" t="n">
        <v>163760.56</v>
      </c>
      <c r="J2" s="14" t="n">
        <v>163760.56</v>
      </c>
      <c r="K2" s="14" t="n">
        <v>163760.56</v>
      </c>
      <c r="L2" s="14" t="n">
        <v>163760.37</v>
      </c>
      <c r="M2" s="14" t="n">
        <v>143320.11</v>
      </c>
      <c r="N2" s="14" t="n">
        <v>143320.11</v>
      </c>
      <c r="O2" s="14" t="n">
        <v>143320.11</v>
      </c>
      <c r="P2" s="14" t="n">
        <v>143322</v>
      </c>
      <c r="Q2" s="14">
        <f>SUM(E2:P2)</f>
        <v/>
      </c>
      <c r="R2" s="14" t="n">
        <v>1627896.99</v>
      </c>
      <c r="S2" s="14">
        <f>Q2-R2</f>
        <v/>
      </c>
    </row>
    <row r="3">
      <c r="A3" t="n">
        <v>89267</v>
      </c>
      <c r="B3" t="inlineStr">
        <is>
          <t>Instalação de RT - LD Xambioá II - Araguanã - 2XB2 - QP</t>
        </is>
      </c>
      <c r="C3" t="inlineStr">
        <is>
          <t>QP</t>
        </is>
      </c>
      <c r="D3" s="13" t="n">
        <v>46508</v>
      </c>
      <c r="E3" s="14" t="n">
        <v>66860.11</v>
      </c>
      <c r="F3" s="14" t="n">
        <v>66860.11</v>
      </c>
      <c r="G3" s="14" t="n">
        <v>66860.11</v>
      </c>
      <c r="H3" s="14" t="n">
        <v>66860.11</v>
      </c>
      <c r="I3" s="14" t="n">
        <v>66860.11</v>
      </c>
      <c r="J3" s="14" t="n">
        <v>66860.11</v>
      </c>
      <c r="K3" s="14" t="n">
        <v>66860.11</v>
      </c>
      <c r="L3" s="14" t="n">
        <v>66860.11</v>
      </c>
      <c r="M3" s="14" t="n">
        <v>66860.11</v>
      </c>
      <c r="N3" s="14" t="n">
        <v>66860.11</v>
      </c>
      <c r="O3" s="14" t="n">
        <v>66860.11</v>
      </c>
      <c r="P3" s="14" t="n">
        <v>66861.14999999999</v>
      </c>
      <c r="Q3" s="14">
        <f>SUM(E3:P3)</f>
        <v/>
      </c>
      <c r="R3" s="14" t="n">
        <v>1083084.59</v>
      </c>
      <c r="S3" s="14">
        <f>Q3-R3</f>
        <v/>
      </c>
    </row>
    <row r="4">
      <c r="A4" t="n">
        <v>91979</v>
      </c>
      <c r="B4" t="inlineStr">
        <is>
          <t>Estudo de QS-LD Gurupi - Duere</t>
        </is>
      </c>
      <c r="C4" t="inlineStr">
        <is>
          <t>QS</t>
        </is>
      </c>
      <c r="D4" s="13" t="n">
        <v>46508</v>
      </c>
      <c r="E4" s="14" t="n">
        <v>19964.91</v>
      </c>
      <c r="F4" s="14" t="n">
        <v>19964.91</v>
      </c>
      <c r="G4" s="14" t="n">
        <v>19964.91</v>
      </c>
      <c r="H4" s="14" t="n">
        <v>19964.91</v>
      </c>
      <c r="I4" s="14" t="n">
        <v>19964.91</v>
      </c>
      <c r="J4" s="14" t="n">
        <v>19964.91</v>
      </c>
      <c r="K4" s="14" t="n">
        <v>19964.91</v>
      </c>
      <c r="L4" s="14" t="n">
        <v>19964.91</v>
      </c>
      <c r="M4" s="14" t="n">
        <v>19964.91</v>
      </c>
      <c r="N4" s="14" t="n">
        <v>19964.91</v>
      </c>
      <c r="O4" s="14" t="n">
        <v>19964.91</v>
      </c>
      <c r="P4" s="14" t="n">
        <v>19967.79</v>
      </c>
      <c r="Q4" s="14">
        <f>SUM(E4:P4)</f>
        <v/>
      </c>
      <c r="R4" s="14" t="n">
        <v>275195.36</v>
      </c>
      <c r="S4" s="14">
        <f>Q4-R4</f>
        <v/>
      </c>
    </row>
    <row r="5">
      <c r="A5" t="n">
        <v>92118</v>
      </c>
      <c r="B5" t="inlineStr">
        <is>
          <t>Estudo de QS-4 de Araguaína IV</t>
        </is>
      </c>
      <c r="C5" t="inlineStr">
        <is>
          <t>QS</t>
        </is>
      </c>
      <c r="D5" s="13" t="n">
        <v>46508</v>
      </c>
      <c r="E5" s="14" t="n">
        <v>9227.84</v>
      </c>
      <c r="F5" s="14" t="n">
        <v>9227.84</v>
      </c>
      <c r="G5" s="14" t="n">
        <v>9227.84</v>
      </c>
      <c r="H5" s="14" t="n">
        <v>9227.84</v>
      </c>
      <c r="I5" s="14" t="n">
        <v>9227.84</v>
      </c>
      <c r="J5" s="14" t="n">
        <v>9227.84</v>
      </c>
      <c r="K5" s="14" t="n">
        <v>9227.84</v>
      </c>
      <c r="L5" s="14" t="n">
        <v>9227.84</v>
      </c>
      <c r="M5" s="14" t="n">
        <v>9227.84</v>
      </c>
      <c r="N5" s="14" t="n">
        <v>9227.84</v>
      </c>
      <c r="O5" s="14" t="n">
        <v>9227.84</v>
      </c>
      <c r="P5" s="14" t="n">
        <v>9230.049999999999</v>
      </c>
      <c r="Q5" s="14">
        <f>SUM(E5:P5)</f>
        <v/>
      </c>
      <c r="R5" s="14" t="n">
        <v>121831.52</v>
      </c>
      <c r="S5" s="14">
        <f>Q5-R5</f>
        <v/>
      </c>
    </row>
    <row r="6">
      <c r="A6" t="n">
        <v>70838</v>
      </c>
      <c r="B6" t="inlineStr">
        <is>
          <t>Instalação de RT - LD Cristalândia - Lagoa da Confusão</t>
        </is>
      </c>
      <c r="C6" t="inlineStr">
        <is>
          <t>QP</t>
        </is>
      </c>
      <c r="D6" s="13" t="n">
        <v>46539</v>
      </c>
      <c r="E6" s="14" t="n">
        <v>33301.1</v>
      </c>
      <c r="F6" s="14" t="n">
        <v>33301.1</v>
      </c>
      <c r="G6" s="14" t="n">
        <v>33301.1</v>
      </c>
      <c r="H6" s="14" t="n">
        <v>33301.1</v>
      </c>
      <c r="I6" s="14" t="n">
        <v>33301.1</v>
      </c>
      <c r="J6" s="14" t="n">
        <v>33301.1</v>
      </c>
      <c r="K6" s="14" t="n">
        <v>33301.1</v>
      </c>
      <c r="L6" s="14" t="n">
        <v>33301.1</v>
      </c>
      <c r="M6" s="14" t="n">
        <v>33301.1</v>
      </c>
      <c r="N6" s="14" t="n">
        <v>33301.1</v>
      </c>
      <c r="O6" s="14" t="n">
        <v>33301.1</v>
      </c>
      <c r="P6" s="14" t="n">
        <v>33302.24</v>
      </c>
      <c r="Q6" s="14">
        <f>SUM(E6:P6)</f>
        <v/>
      </c>
      <c r="R6" s="14" t="n">
        <v>539995.52</v>
      </c>
      <c r="S6" s="14">
        <f>Q6-R6</f>
        <v/>
      </c>
    </row>
    <row r="7">
      <c r="A7" t="n">
        <v>70978</v>
      </c>
      <c r="B7" t="inlineStr">
        <is>
          <t>Instalação de RT e Balanceamento de Fase - LD Paraíso I - Caseara - 2PR0 - QP</t>
        </is>
      </c>
      <c r="C7" t="inlineStr">
        <is>
          <t>QP</t>
        </is>
      </c>
      <c r="D7" s="13" t="n">
        <v>46539</v>
      </c>
      <c r="E7" s="14" t="n">
        <v>33326.04</v>
      </c>
      <c r="F7" s="14" t="n">
        <v>33326.04</v>
      </c>
      <c r="G7" s="14" t="n">
        <v>33326.04</v>
      </c>
      <c r="H7" s="14" t="n">
        <v>33326.04</v>
      </c>
      <c r="I7" s="14" t="n">
        <v>33326.04</v>
      </c>
      <c r="J7" s="14" t="n">
        <v>33326.04</v>
      </c>
      <c r="K7" s="14" t="n">
        <v>33326.04</v>
      </c>
      <c r="L7" s="14" t="n">
        <v>33326.04</v>
      </c>
      <c r="M7" s="14" t="n">
        <v>33326.04</v>
      </c>
      <c r="N7" s="14" t="n">
        <v>33326.04</v>
      </c>
      <c r="O7" s="14" t="n">
        <v>33326.04</v>
      </c>
      <c r="P7" s="14" t="n">
        <v>33327.28</v>
      </c>
      <c r="Q7" s="14">
        <f>SUM(E7:P7)</f>
        <v/>
      </c>
      <c r="R7" s="14" t="n">
        <v>540294.9</v>
      </c>
      <c r="S7" s="14">
        <f>Q7-R7</f>
        <v/>
      </c>
    </row>
    <row r="8">
      <c r="A8" t="n">
        <v>92094</v>
      </c>
      <c r="B8" t="inlineStr">
        <is>
          <t>Estudo de QS-LD Palmas - Aparecida do Rio Negro</t>
        </is>
      </c>
      <c r="C8" t="inlineStr">
        <is>
          <t>QS</t>
        </is>
      </c>
      <c r="D8" s="13" t="n">
        <v>46539</v>
      </c>
      <c r="E8" s="14" t="n">
        <v>32562.34</v>
      </c>
      <c r="F8" s="14" t="n">
        <v>32562.34</v>
      </c>
      <c r="G8" s="14" t="n">
        <v>32562.34</v>
      </c>
      <c r="H8" s="14" t="n">
        <v>32562.34</v>
      </c>
      <c r="I8" s="14" t="n">
        <v>32562.34</v>
      </c>
      <c r="J8" s="14" t="n">
        <v>32562.34</v>
      </c>
      <c r="K8" s="14" t="n">
        <v>32562.34</v>
      </c>
      <c r="L8" s="14" t="n">
        <v>32562.34</v>
      </c>
      <c r="M8" s="14" t="n">
        <v>32562.34</v>
      </c>
      <c r="N8" s="14" t="n">
        <v>32562.34</v>
      </c>
      <c r="O8" s="14" t="n">
        <v>32562.34</v>
      </c>
      <c r="P8" s="14" t="n">
        <v>32564.29</v>
      </c>
      <c r="Q8" s="14">
        <f>SUM(E8:P8)</f>
        <v/>
      </c>
      <c r="R8" s="14" t="n">
        <v>505316.58</v>
      </c>
      <c r="S8" s="14">
        <f>Q8-R8</f>
        <v/>
      </c>
    </row>
    <row r="9">
      <c r="A9" t="n">
        <v>92095</v>
      </c>
      <c r="B9" t="inlineStr">
        <is>
          <t>Estudo de QS-LD Palmas - Lajeado</t>
        </is>
      </c>
      <c r="C9" t="inlineStr">
        <is>
          <t>QS</t>
        </is>
      </c>
      <c r="D9" s="13" t="n">
        <v>46539</v>
      </c>
      <c r="E9" s="14" t="n">
        <v>10853.96</v>
      </c>
      <c r="F9" s="14" t="n">
        <v>10853.96</v>
      </c>
      <c r="G9" s="14" t="n">
        <v>10853.96</v>
      </c>
      <c r="H9" s="14" t="n">
        <v>10853.96</v>
      </c>
      <c r="I9" s="14" t="n">
        <v>10853.96</v>
      </c>
      <c r="J9" s="14" t="n">
        <v>10853.96</v>
      </c>
      <c r="K9" s="14" t="n">
        <v>10853.96</v>
      </c>
      <c r="L9" s="14" t="n">
        <v>10853.96</v>
      </c>
      <c r="M9" s="14" t="n">
        <v>10853.96</v>
      </c>
      <c r="N9" s="14" t="n">
        <v>10853.96</v>
      </c>
      <c r="O9" s="14" t="n">
        <v>10853.96</v>
      </c>
      <c r="P9" s="14" t="n">
        <v>10856.4</v>
      </c>
      <c r="Q9" s="14">
        <f>SUM(E9:P9)</f>
        <v/>
      </c>
      <c r="R9" s="14" t="n">
        <v>168438.86</v>
      </c>
      <c r="S9" s="14">
        <f>Q9-R9</f>
        <v/>
      </c>
    </row>
    <row r="10">
      <c r="A10" t="n">
        <v>92101</v>
      </c>
      <c r="B10" t="inlineStr">
        <is>
          <t>Estudo de QS-8 de Palmas IV</t>
        </is>
      </c>
      <c r="C10" t="inlineStr">
        <is>
          <t>QS</t>
        </is>
      </c>
      <c r="D10" s="13" t="n">
        <v>46539</v>
      </c>
      <c r="E10" s="14" t="n">
        <v>9227.84</v>
      </c>
      <c r="F10" s="14" t="n">
        <v>9227.84</v>
      </c>
      <c r="G10" s="14" t="n">
        <v>9227.84</v>
      </c>
      <c r="H10" s="14" t="n">
        <v>9227.84</v>
      </c>
      <c r="I10" s="14" t="n">
        <v>9227.84</v>
      </c>
      <c r="J10" s="14" t="n">
        <v>9227.84</v>
      </c>
      <c r="K10" s="14" t="n">
        <v>9227.84</v>
      </c>
      <c r="L10" s="14" t="n">
        <v>9227.84</v>
      </c>
      <c r="M10" s="14" t="n">
        <v>9227.84</v>
      </c>
      <c r="N10" s="14" t="n">
        <v>9227.84</v>
      </c>
      <c r="O10" s="14" t="n">
        <v>9227.84</v>
      </c>
      <c r="P10" s="14" t="n">
        <v>9230.049999999999</v>
      </c>
      <c r="Q10" s="14">
        <f>SUM(E10:P10)</f>
        <v/>
      </c>
      <c r="R10" s="14" t="n">
        <v>121831.52</v>
      </c>
      <c r="S10" s="14">
        <f>Q10-R10</f>
        <v/>
      </c>
    </row>
    <row r="11">
      <c r="A11" t="n">
        <v>92102</v>
      </c>
      <c r="B11" t="inlineStr">
        <is>
          <t>Estudo de QS-6 de Palmas IV</t>
        </is>
      </c>
      <c r="C11" t="inlineStr">
        <is>
          <t>QS</t>
        </is>
      </c>
      <c r="D11" s="13" t="n">
        <v>46539</v>
      </c>
      <c r="E11" s="14" t="n">
        <v>9227.84</v>
      </c>
      <c r="F11" s="14" t="n">
        <v>9227.84</v>
      </c>
      <c r="G11" s="14" t="n">
        <v>9227.84</v>
      </c>
      <c r="H11" s="14" t="n">
        <v>9227.84</v>
      </c>
      <c r="I11" s="14" t="n">
        <v>9227.84</v>
      </c>
      <c r="J11" s="14" t="n">
        <v>9227.84</v>
      </c>
      <c r="K11" s="14" t="n">
        <v>9227.84</v>
      </c>
      <c r="L11" s="14" t="n">
        <v>9227.84</v>
      </c>
      <c r="M11" s="14" t="n">
        <v>9227.84</v>
      </c>
      <c r="N11" s="14" t="n">
        <v>9227.84</v>
      </c>
      <c r="O11" s="14" t="n">
        <v>9227.84</v>
      </c>
      <c r="P11" s="14" t="n">
        <v>9230.049999999999</v>
      </c>
      <c r="Q11" s="14">
        <f>SUM(E11:P11)</f>
        <v/>
      </c>
      <c r="R11" s="14" t="n">
        <v>121831.52</v>
      </c>
      <c r="S11" s="14">
        <f>Q11-R11</f>
        <v/>
      </c>
    </row>
    <row r="12">
      <c r="A12" t="n">
        <v>89249</v>
      </c>
      <c r="B12" t="inlineStr">
        <is>
          <t>Instalação de RT - LD Araguaína - Babaçulândia - 2AR0 - QP</t>
        </is>
      </c>
      <c r="C12" t="inlineStr">
        <is>
          <t>QP</t>
        </is>
      </c>
      <c r="D12" s="13" t="n">
        <v>46600</v>
      </c>
      <c r="E12" s="14" t="n">
        <v>33301.1</v>
      </c>
      <c r="F12" s="14" t="n">
        <v>33301.1</v>
      </c>
      <c r="G12" s="14" t="n">
        <v>33301.1</v>
      </c>
      <c r="H12" s="14" t="n">
        <v>33301.1</v>
      </c>
      <c r="I12" s="14" t="n">
        <v>33301.1</v>
      </c>
      <c r="J12" s="14" t="n">
        <v>33301.1</v>
      </c>
      <c r="K12" s="14" t="n">
        <v>33301.1</v>
      </c>
      <c r="L12" s="14" t="n">
        <v>33301.1</v>
      </c>
      <c r="M12" s="14" t="n">
        <v>33301.1</v>
      </c>
      <c r="N12" s="14" t="n">
        <v>33301.1</v>
      </c>
      <c r="O12" s="14" t="n">
        <v>33301.1</v>
      </c>
      <c r="P12" s="14" t="n">
        <v>33302.24</v>
      </c>
      <c r="Q12" s="14">
        <f>SUM(E12:P12)</f>
        <v/>
      </c>
      <c r="R12" s="14" t="n">
        <v>539995.52</v>
      </c>
      <c r="S12" s="14">
        <f>Q12-R12</f>
        <v/>
      </c>
    </row>
    <row r="13">
      <c r="A13" t="n">
        <v>89307</v>
      </c>
      <c r="B13" t="inlineStr">
        <is>
          <t>Instalação de RT - 1 de Figueirópolis - 2FGR - QP</t>
        </is>
      </c>
      <c r="C13" t="inlineStr">
        <is>
          <t>QP</t>
        </is>
      </c>
      <c r="D13" s="13" t="n">
        <v>46600</v>
      </c>
      <c r="E13" s="14" t="n">
        <v>27582.14</v>
      </c>
      <c r="F13" s="14" t="n">
        <v>27582.14</v>
      </c>
      <c r="G13" s="14" t="n">
        <v>27582.14</v>
      </c>
      <c r="H13" s="14" t="n">
        <v>27582.14</v>
      </c>
      <c r="I13" s="14" t="n">
        <v>27582.14</v>
      </c>
      <c r="J13" s="14" t="n">
        <v>27582.14</v>
      </c>
      <c r="K13" s="14" t="n">
        <v>27582.14</v>
      </c>
      <c r="L13" s="14" t="n">
        <v>27582.14</v>
      </c>
      <c r="M13" s="14" t="n">
        <v>27582.14</v>
      </c>
      <c r="N13" s="14" t="n">
        <v>27582.14</v>
      </c>
      <c r="O13" s="14" t="n">
        <v>27582.14</v>
      </c>
      <c r="P13" s="14" t="n">
        <v>27585.47</v>
      </c>
      <c r="Q13" s="14">
        <f>SUM(E13:P13)</f>
        <v/>
      </c>
      <c r="R13" s="14" t="n">
        <v>373175.86</v>
      </c>
      <c r="S13" s="14">
        <f>Q13-R13</f>
        <v/>
      </c>
    </row>
    <row r="14">
      <c r="A14" s="2" t="inlineStr"/>
      <c r="B14" s="2" t="inlineStr">
        <is>
          <t>TOTAL</t>
        </is>
      </c>
      <c r="C14" s="2" t="inlineStr"/>
      <c r="D14" s="15" t="inlineStr"/>
      <c r="E14" s="16">
        <f>SUM(E2:E13)</f>
        <v/>
      </c>
      <c r="F14" s="16">
        <f>SUM(F2:F13)</f>
        <v/>
      </c>
      <c r="G14" s="16">
        <f>SUM(G2:G13)</f>
        <v/>
      </c>
      <c r="H14" s="16">
        <f>SUM(H2:H13)</f>
        <v/>
      </c>
      <c r="I14" s="16">
        <f>SUM(I2:I13)</f>
        <v/>
      </c>
      <c r="J14" s="16">
        <f>SUM(J2:J13)</f>
        <v/>
      </c>
      <c r="K14" s="16">
        <f>SUM(K2:K13)</f>
        <v/>
      </c>
      <c r="L14" s="16">
        <f>SUM(L2:L13)</f>
        <v/>
      </c>
      <c r="M14" s="16">
        <f>SUM(M2:M13)</f>
        <v/>
      </c>
      <c r="N14" s="16">
        <f>SUM(N2:N13)</f>
        <v/>
      </c>
      <c r="O14" s="16">
        <f>SUM(O2:O13)</f>
        <v/>
      </c>
      <c r="P14" s="16">
        <f>SUM(P2:P13)</f>
        <v/>
      </c>
      <c r="Q14" s="16">
        <f>SUM(Q2:Q13)</f>
        <v/>
      </c>
      <c r="R14" s="16">
        <f>SUM(R2:R13)</f>
        <v/>
      </c>
      <c r="S14" s="16">
        <f>Q14-R14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30" customWidth="1" min="3" max="3"/>
    <col width="62" customWidth="1" min="4" max="4"/>
  </cols>
  <sheetData>
    <row r="1">
      <c r="A1" s="17" t="inlineStr">
        <is>
          <t>Etapa do BLOCO (equipamento especial RL / RT / BC)</t>
        </is>
      </c>
      <c r="B1" s="17" t="inlineStr">
        <is>
          <t>Duração padrão</t>
        </is>
      </c>
      <c r="C1" s="17" t="inlineStr">
        <is>
          <t>Unidade</t>
        </is>
      </c>
      <c r="D1" s="17" t="inlineStr">
        <is>
          <t>Origem</t>
        </is>
      </c>
    </row>
    <row r="2">
      <c r="A2" t="inlineStr">
        <is>
          <t>Executar Obras - até 4 equipamentos (RL/RT) ou 6 BC</t>
        </is>
      </c>
      <c r="B2" t="n">
        <v>30</v>
      </c>
      <c r="C2" t="inlineStr">
        <is>
          <t>dias corridos</t>
        </is>
      </c>
      <c r="D2" t="inlineStr">
        <is>
          <t>WBS 2026 - BLOCO 2 (4 BC), Bielândia, Bielândia/Palmeirantes (RT)</t>
        </is>
      </c>
    </row>
    <row r="3">
      <c r="A3" t="inlineStr">
        <is>
          <t>Executar Obras - 5 ou mais RL</t>
        </is>
      </c>
      <c r="B3" t="n">
        <v>45</v>
      </c>
      <c r="C3" t="inlineStr">
        <is>
          <t>dias corridos</t>
        </is>
      </c>
      <c r="D3" t="inlineStr">
        <is>
          <t>WBS 2026 - BLOCO 1 e BLOCO 3 (5 RL)</t>
        </is>
      </c>
    </row>
    <row r="4">
      <c r="A4" t="inlineStr">
        <is>
          <t>Fiscalização</t>
        </is>
      </c>
      <c r="B4" t="n">
        <v>12</v>
      </c>
      <c r="C4" t="inlineStr">
        <is>
          <t>dias corridos</t>
        </is>
      </c>
      <c r="D4" t="inlineStr">
        <is>
          <t>WBS 2026 - BLOCOS</t>
        </is>
      </c>
    </row>
    <row r="5">
      <c r="A5" t="inlineStr">
        <is>
          <t>Cadastro EO / Integração parcial</t>
        </is>
      </c>
      <c r="B5" t="n">
        <v>10</v>
      </c>
      <c r="C5" t="inlineStr">
        <is>
          <t>dias corridos</t>
        </is>
      </c>
      <c r="D5" t="inlineStr">
        <is>
          <t>WBS 2026 - BLOCOS</t>
        </is>
      </c>
    </row>
    <row r="6">
      <c r="A6" t="inlineStr">
        <is>
          <t>Entrega do TCI pela empreiteira / Integração final</t>
        </is>
      </c>
      <c r="B6" t="n">
        <v>15</v>
      </c>
      <c r="C6" t="inlineStr">
        <is>
          <t>dias corridos</t>
        </is>
      </c>
      <c r="D6" t="inlineStr">
        <is>
          <t>WBS 2026 - BLOCOS</t>
        </is>
      </c>
    </row>
    <row r="7">
      <c r="A7" t="inlineStr">
        <is>
          <t>Abertura de chamado / Atendimento GAT (somente RL)</t>
        </is>
      </c>
      <c r="B7" t="n">
        <v>8</v>
      </c>
      <c r="C7" t="inlineStr">
        <is>
          <t>dias corridos (paralelo ao TCI)</t>
        </is>
      </c>
      <c r="D7" t="inlineStr">
        <is>
          <t>WBS 2026 - BLOCO 1 e 3</t>
        </is>
      </c>
    </row>
    <row r="8">
      <c r="A8" t="inlineStr">
        <is>
          <t>Comissionar Equipamentos</t>
        </is>
      </c>
      <c r="B8" t="n">
        <v>15</v>
      </c>
      <c r="C8" t="inlineStr">
        <is>
          <t>dias corridos (paralelo ao TCI)</t>
        </is>
      </c>
      <c r="D8" t="inlineStr">
        <is>
          <t>WBS 2026 - BLOCOS</t>
        </is>
      </c>
    </row>
    <row r="9">
      <c r="A9" t="inlineStr">
        <is>
          <t>Encerramento Técnico</t>
        </is>
      </c>
      <c r="B9" t="n">
        <v>7</v>
      </c>
      <c r="C9" t="inlineStr">
        <is>
          <t>dias úteis</t>
        </is>
      </c>
      <c r="D9" t="inlineStr">
        <is>
          <t>WBS 2026 - BLOCOS</t>
        </is>
      </c>
    </row>
    <row r="10">
      <c r="A10" t="inlineStr">
        <is>
          <t>Encerramento Contábil</t>
        </is>
      </c>
      <c r="B10" t="n">
        <v>3</v>
      </c>
      <c r="C10" t="inlineStr">
        <is>
          <t>dias úteis</t>
        </is>
      </c>
      <c r="D10" t="inlineStr">
        <is>
          <t>WBS 2026 - BLOCOS</t>
        </is>
      </c>
    </row>
    <row r="12">
      <c r="A12" t="inlineStr">
        <is>
          <t>Marco "Equipamentos em Operação" = último dia útil do mês de energização da ficha (Planejamento PN, coluna Data Energização). Cronograma calculado de trás para frente.</t>
        </is>
      </c>
    </row>
    <row r="13">
      <c r="A13" t="inlineStr">
        <is>
          <t>Feriados não considerados. Etapas de linha (RD MT), planejamento, projeto executivo e recebimento de material da WBS 2026 NÃO foram usadas: escopo restrito aos blocos de equipamentos especiais.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2026-10-28T23:27:01Z</dcterms:created>
  <dcterms:modified xmlns:dcterms="http://purl.org/dc/terms/" xmlns:xsi="http://www.w3.org/2001/XMLSchema-instance" xsi:type="dcterms:W3CDTF">2026-10-28T23:27:01Z</dcterms:modified>
</cp:coreProperties>
</file>