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xmlns:r="http://schemas.openxmlformats.org/officeDocument/2006/relationships" name="WBS_Cronograma" sheetId="1" state="visible" r:id="rId1"/>
    <sheet xmlns:r="http://schemas.openxmlformats.org/officeDocument/2006/relationships" name="Curva_Orcamentaria" sheetId="2" state="visible" r:id="rId2"/>
    <sheet xmlns:r="http://schemas.openxmlformats.org/officeDocument/2006/relationships" name="Resumo_Blocos" sheetId="3" state="visible" r:id="rId3"/>
    <sheet xmlns:r="http://schemas.openxmlformats.org/officeDocument/2006/relationships" name="Premissas_Fontes" sheetId="4" state="visible" r:id="rId4"/>
  </sheets>
  <definedNames>
    <definedName name="_xlnm._FilterDatabase" localSheetId="0" hidden="1">'WBS_Cronograma'!$A$4:$K$182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mmm/yyyy"/>
    <numFmt numFmtId="165" formatCode="mm/dd/yy"/>
    <numFmt numFmtId="166" formatCode="mm/yyyy"/>
    <numFmt numFmtId="167" formatCode="#,##0;\(#,##0\);\-"/>
  </numFmts>
  <fonts count="17">
    <font>
      <name val="Calibri"/>
      <charset val="1"/>
      <family val="2"/>
      <color theme="1"/>
      <sz val="11"/>
    </font>
    <font>
      <name val="Arial"/>
      <charset val="1"/>
      <b val="1"/>
      <color rgb="FF1F1F4C"/>
      <sz val="13"/>
    </font>
    <font>
      <name val="Arial"/>
      <charset val="1"/>
      <i val="1"/>
      <color rgb="FF4D4D4D"/>
      <sz val="8"/>
    </font>
    <font>
      <name val="Arial"/>
      <charset val="1"/>
      <b val="1"/>
      <color rgb="FFFFFFFF"/>
      <sz val="9"/>
    </font>
    <font>
      <name val="Arial"/>
      <charset val="1"/>
      <b val="1"/>
      <sz val="9"/>
    </font>
    <font>
      <name val="Arial"/>
      <charset val="1"/>
      <sz val="9"/>
    </font>
    <font>
      <name val="Arial"/>
      <charset val="1"/>
      <i val="1"/>
      <sz val="9"/>
    </font>
    <font>
      <name val="Arial"/>
      <charset val="1"/>
      <color rgb="FF0000FF"/>
      <sz val="9"/>
    </font>
    <font>
      <name val="Arial"/>
      <charset val="1"/>
      <b val="1"/>
      <i val="1"/>
      <color rgb="FFF47B20"/>
      <sz val="9"/>
    </font>
    <font>
      <name val="Arial"/>
      <charset val="1"/>
      <b val="1"/>
      <i val="1"/>
      <color rgb="FF4D4D4D"/>
      <sz val="9"/>
    </font>
    <font>
      <name val="Arial"/>
      <family val="2"/>
      <sz val="10"/>
    </font>
    <font>
      <name val="Arial"/>
      <charset val="1"/>
      <color rgb="FF989898"/>
      <sz val="7"/>
    </font>
    <font>
      <name val="Arial"/>
      <charset val="1"/>
      <b val="1"/>
      <color rgb="FF1F1F4C"/>
      <sz val="9"/>
    </font>
    <font>
      <name val="Arial"/>
      <charset val="1"/>
      <b val="1"/>
      <color rgb="FF1F1F4C"/>
      <sz val="10"/>
    </font>
    <font>
      <name val="Arial"/>
      <charset val="1"/>
      <color rgb="FF4D4D4D"/>
      <sz val="9"/>
    </font>
    <font>
      <name val="Calibri"/>
      <charset val="1"/>
      <family val="2"/>
      <sz val="8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FF1F1F4C"/>
        <bgColor rgb="FF003366"/>
      </patternFill>
    </fill>
    <fill>
      <patternFill patternType="solid">
        <fgColor rgb="FFE6E6E6"/>
        <bgColor rgb="FFD9EEF4"/>
      </patternFill>
    </fill>
    <fill>
      <patternFill patternType="solid">
        <fgColor rgb="FFD9EEF4"/>
        <bgColor rgb="FFE6E6E6"/>
      </patternFill>
    </fill>
    <fill>
      <patternFill patternType="solid">
        <fgColor theme="6" tint="0.5999938962981048"/>
        <bgColor rgb="FFD9EE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14" fontId="4" fillId="3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4" fontId="5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14" fontId="7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4" fontId="4" fillId="4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0" fontId="11" fillId="0" borderId="0" pivotButton="0" quotePrefix="0" xfId="0"/>
    <xf numFmtId="166" fontId="11" fillId="0" borderId="0" pivotButton="0" quotePrefix="0" xfId="0"/>
    <xf numFmtId="4" fontId="7" fillId="0" borderId="1" pivotButton="0" quotePrefix="0" xfId="0"/>
    <xf numFmtId="14" fontId="5" fillId="0" borderId="1" pivotButton="0" quotePrefix="0" xfId="0"/>
    <xf numFmtId="167" fontId="5" fillId="0" borderId="1" pivotButton="0" quotePrefix="0" xfId="0"/>
    <xf numFmtId="4" fontId="4" fillId="0" borderId="1" pivotButton="0" quotePrefix="0" xfId="0"/>
    <xf numFmtId="0" fontId="4" fillId="0" borderId="0" pivotButton="0" quotePrefix="0" xfId="0"/>
    <xf numFmtId="4" fontId="4" fillId="3" borderId="1" pivotButton="0" quotePrefix="0" xfId="0"/>
    <xf numFmtId="167" fontId="4" fillId="3" borderId="1" pivotButton="0" quotePrefix="0" xfId="0"/>
    <xf numFmtId="0" fontId="6" fillId="0" borderId="0" pivotButton="0" quotePrefix="0" xfId="0"/>
    <xf numFmtId="3" fontId="6" fillId="0" borderId="0" pivotButton="0" quotePrefix="0" xfId="0"/>
    <xf numFmtId="9" fontId="6" fillId="0" borderId="0" pivotButton="0" quotePrefix="0" xfId="0"/>
    <xf numFmtId="0" fontId="12" fillId="0" borderId="0" pivotButton="0" quotePrefix="0" xfId="0"/>
    <xf numFmtId="0" fontId="5" fillId="0" borderId="1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4" fillId="4" borderId="1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1" fontId="5" fillId="0" borderId="1" applyAlignment="1" pivotButton="0" quotePrefix="0" xfId="0">
      <alignment horizontal="center"/>
    </xf>
    <xf numFmtId="14" fontId="16" fillId="0" borderId="1" applyAlignment="1" pivotButton="0" quotePrefix="0" xfId="0">
      <alignment horizontal="center"/>
    </xf>
  </cellXfs>
  <cellStyles count="1">
    <cellStyle name="Normal" xfId="0" builtinId="0"/>
  </cellStyles>
  <dxfs count="1">
    <dxf>
      <font>
        <b val="1"/>
        <color rgb="00C0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6E6E6"/>
      <rgbColor rgb="FFD9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47B20"/>
      <rgbColor rgb="FF4D4D4D"/>
      <rgbColor rgb="FF989898"/>
      <rgbColor rgb="FF003366"/>
      <rgbColor rgb="FF339966"/>
      <rgbColor rgb="FF003300"/>
      <rgbColor rgb="FF333300"/>
      <rgbColor rgb="FF993300"/>
      <rgbColor rgb="FF993366"/>
      <rgbColor rgb="FF333399"/>
      <rgbColor rgb="FF1F1F4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  <author>Unknown Author</author>
  </authors>
  <commentList>
    <comment ref="F18" authorId="0" shapeId="0">
      <text>
        <t>Equipamentos (RL, RT e TripSaver) disponíveis somente após 05/04/2027: nenhuma execução inicia antes de 06/04/2027.</t>
      </text>
    </comment>
    <comment ref="F19" authorId="0" shapeId="0">
      <text>
        <t>Lote 2 (B3 e B13): recebimento 7 dias antes do início da execução (blocos de junho).</t>
      </text>
    </comment>
    <comment ref="F31" authorId="0" shapeId="0">
      <text>
        <t>Reprogramado: início da execução passa de 05/03/2027 para 06/04/2027 (equipamentos disponíveis somente após 05/04/2027). Operação anterior: 14/05/2027.</t>
      </text>
    </comment>
    <comment ref="F42" authorId="0" shapeId="0">
      <text>
        <t>Reprogramado: início da execução passa de 12/03/2027 para 06/04/2027 (equipamentos disponíveis somente após 05/04/2027). Operação anterior: 21/05/2027.</t>
      </text>
    </comment>
    <comment ref="F53" authorId="1" shapeId="0">
      <text>
        <t>Data-alvo do marco 'Equipamentos em Operação' (entrada). Deve ficar dentro do mês de energização necessária definido pela ASPO.</t>
      </text>
    </comment>
    <comment ref="F65" authorId="0" shapeId="0">
      <text>
        <t>Reprogramado: início da execução passa de 28/01/2027 para 06/04/2027 (equipamentos disponíveis somente após 05/04/2027). Operação anterior: 23/04/2027.</t>
      </text>
    </comment>
    <comment ref="F76" authorId="0" shapeId="0">
      <text>
        <t>Reprogramado: início da execução passa de 28/01/2027 para 06/04/2027 (equipamentos disponíveis somente após 05/04/2027). Operação anterior: 23/04/2027.</t>
      </text>
    </comment>
    <comment ref="F87" authorId="0" shapeId="0">
      <text>
        <t>Reprogramado: início da execução passa de 05/02/2027 para 06/04/2027 (equipamentos disponíveis somente após 05/04/2027). Operação anterior: 16/04/2027.</t>
      </text>
    </comment>
    <comment ref="F98" authorId="0" shapeId="0">
      <text>
        <t>Reprogramado: início da execução passa de 26/03/2027 para 06/04/2027 (equipamentos disponíveis somente após 05/04/2027). Operação anterior: 04/06/2027.</t>
      </text>
    </comment>
    <comment ref="F109" authorId="0" shapeId="0">
      <text>
        <t>Reprogramado: início da execução passa de 02/04/2027 para 06/04/2027 (equipamentos disponíveis somente após 05/04/2027). Operação anterior: 11/06/2027.</t>
      </text>
    </comment>
    <comment ref="F120" authorId="0" shapeId="0">
      <text>
        <t>Reprogramado: início da execução passa de 02/04/2027 para 06/04/2027 (equipamentos disponíveis somente após 05/04/2027). Operação anterior: 11/06/2027.</t>
      </text>
    </comment>
    <comment ref="F131" authorId="1" shapeId="0">
      <text>
        <t>Data-alvo do marco 'Equipamentos em Operação' (entrada). Deve ficar dentro do mês de energização necessária definido pela ASPO.</t>
      </text>
    </comment>
    <comment ref="F142" authorId="1" shapeId="0">
      <text>
        <t>Data-alvo do marco 'Equipamentos em Operação' (entrada). Deve ficar dentro do mês de energização necessária definido pela ASPO.</t>
      </text>
    </comment>
    <comment ref="F153" authorId="1" shapeId="0">
      <text>
        <t>Data-alvo do marco 'Equipamentos em Operação' (entrada). Deve ficar dentro do mês de energização necessária definido pela ASPO.</t>
      </text>
    </comment>
    <comment ref="F165" authorId="0" shapeId="0">
      <text>
        <t>Reprogramado: início da execução passa de 05/03/2027 para 06/04/2027 (equipamentos disponíveis somente após 05/04/2027). Operação anterior: 14/05/2027.</t>
      </text>
    </comment>
    <comment ref="F176" authorId="0" shapeId="0">
      <text>
        <t>Reprogramado: início da execução passa de 05/03/2027 para 06/04/2027 (equipamentos disponíveis somente após 05/04/2027). Operação anterior: 14/05/2027.</t>
      </text>
    </comment>
    <comment ref="F187" authorId="1" shapeId="0">
      <text>
        <t>Data-alvo do marco 'Equipamentos em Operação' (entrada). Deve ficar dentro do mês de energização necessária definido pela ASPO.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3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19" sqref="E19"/>
    </sheetView>
  </sheetViews>
  <sheetFormatPr baseColWidth="8" defaultColWidth="8.7109375" defaultRowHeight="15"/>
  <cols>
    <col width="7" customWidth="1" min="1" max="1"/>
    <col width="53.42578125" customWidth="1" style="33" min="2" max="2"/>
    <col width="10" customWidth="1" min="3" max="3"/>
    <col width="9" customWidth="1" min="4" max="4"/>
    <col width="10" customWidth="1" min="5" max="5"/>
    <col width="12" customWidth="1" min="6" max="7"/>
    <col width="16" customWidth="1" min="8" max="8"/>
    <col width="15" customWidth="1" min="9" max="9"/>
    <col width="13" customWidth="1" min="10" max="10"/>
    <col width="12" customWidth="1" min="11" max="11"/>
  </cols>
  <sheetData>
    <row r="1" ht="16.5" customHeight="1">
      <c r="A1" s="1" t="inlineStr">
        <is>
          <t>Obras de Distribuição 2027 – Instalação de Equipamentos Especiais (RL / RT) | WBS e Cronograma</t>
        </is>
      </c>
    </row>
    <row r="2">
      <c r="A2" s="2" t="inlineStr">
        <is>
          <t>GP: Sandro Padilha Dias Junior  |  DCMD  |  Base: Cadastro CAPEX 2027-2029 (Orçamento 08.10) e TM 06/10/2026  |  Dias corridos; término = início + duração. Células em azul são entradas: altere a duração ou a data-alvo de operação e o bloco é reprogramado.</t>
        </is>
      </c>
    </row>
    <row r="4" ht="30" customHeight="1">
      <c r="A4" s="3" t="inlineStr">
        <is>
          <t>EDT</t>
        </is>
      </c>
      <c r="B4" s="3" t="inlineStr">
        <is>
          <t>Nome da tarefa</t>
        </is>
      </c>
      <c r="C4" s="3" t="inlineStr">
        <is>
          <t>Regional</t>
        </is>
      </c>
      <c r="D4" s="3" t="inlineStr">
        <is>
          <t>SIGCO</t>
        </is>
      </c>
      <c r="E4" s="3" t="inlineStr">
        <is>
          <t>Duração (dias)</t>
        </is>
      </c>
      <c r="F4" s="3" t="inlineStr">
        <is>
          <t>Início</t>
        </is>
      </c>
      <c r="G4" s="3" t="inlineStr">
        <is>
          <t>Término</t>
        </is>
      </c>
      <c r="H4" s="3" t="inlineStr">
        <is>
          <t>Responsável</t>
        </is>
      </c>
      <c r="I4" s="3" t="inlineStr">
        <is>
          <t>Energização necessária (ASPO)</t>
        </is>
      </c>
      <c r="J4" s="3" t="inlineStr">
        <is>
          <t>Folga até fim do mês (dias)</t>
        </is>
      </c>
      <c r="K4" s="3" t="inlineStr">
        <is>
          <t>Status</t>
        </is>
      </c>
    </row>
    <row r="5">
      <c r="A5" s="12" t="inlineStr">
        <is>
          <t>1</t>
        </is>
      </c>
      <c r="B5" s="37" t="inlineStr">
        <is>
          <t>GERENCIAMENTO DO PROJETO (PMBOK)</t>
        </is>
      </c>
      <c r="C5" s="13" t="n"/>
      <c r="D5" s="13" t="n"/>
      <c r="E5" s="13">
        <f>G5-F5</f>
        <v>337</v>
      </c>
      <c r="F5" s="14">
        <f>MIN(F6:F10)</f>
        <v>46301</v>
      </c>
      <c r="G5" s="14">
        <f>MAX(G6:G10)</f>
        <v>46638</v>
      </c>
      <c r="H5" s="13" t="n"/>
      <c r="I5" s="14" t="n"/>
      <c r="J5" s="13" t="n"/>
      <c r="K5" s="13" t="n"/>
    </row>
    <row r="6">
      <c r="A6" s="7" t="inlineStr">
        <is>
          <t>1.1</t>
        </is>
      </c>
      <c r="B6" s="35" t="inlineStr">
        <is>
          <t xml:space="preserve">   Transfer Meeting (TM)</t>
        </is>
      </c>
      <c r="C6" s="8" t="n"/>
      <c r="D6" s="8" t="n"/>
      <c r="E6" s="10" t="n">
        <v>0</v>
      </c>
      <c r="F6" s="11" t="n">
        <v>46301</v>
      </c>
      <c r="G6" s="9">
        <f>F6+E6</f>
        <v>46301</v>
      </c>
      <c r="H6" s="8" t="inlineStr">
        <is>
          <t>ASGP / ASPO</t>
        </is>
      </c>
      <c r="I6" s="9" t="n"/>
      <c r="J6" s="8" t="n"/>
      <c r="K6" s="8" t="inlineStr">
        <is>
          <t>Concluído</t>
        </is>
      </c>
    </row>
    <row r="7">
      <c r="A7" s="7" t="inlineStr">
        <is>
          <t>1.2</t>
        </is>
      </c>
      <c r="B7" s="35" t="inlineStr">
        <is>
          <t xml:space="preserve">   Kickoff Meeting (KOM)</t>
        </is>
      </c>
      <c r="C7" s="8" t="n"/>
      <c r="D7" s="8" t="n"/>
      <c r="E7" s="10" t="n">
        <v>0</v>
      </c>
      <c r="F7" s="11" t="n">
        <v>46324</v>
      </c>
      <c r="G7" s="9">
        <f>F7+E7</f>
        <v>46324</v>
      </c>
      <c r="H7" s="8" t="inlineStr">
        <is>
          <t>GP / PMO</t>
        </is>
      </c>
      <c r="I7" s="9" t="n"/>
      <c r="J7" s="8" t="n"/>
      <c r="K7" s="8" t="inlineStr">
        <is>
          <t>A iniciar</t>
        </is>
      </c>
    </row>
    <row r="8">
      <c r="A8" s="7" t="inlineStr">
        <is>
          <t>1.3</t>
        </is>
      </c>
      <c r="B8" s="35" t="inlineStr">
        <is>
          <t xml:space="preserve">   Project Review Meeting (PRM) / linha de base</t>
        </is>
      </c>
      <c r="C8" s="8" t="n"/>
      <c r="D8" s="8" t="n"/>
      <c r="E8" s="10" t="n">
        <v>0</v>
      </c>
      <c r="F8" s="11" t="n">
        <v>46358</v>
      </c>
      <c r="G8" s="9">
        <f>F8+E8</f>
        <v>46358</v>
      </c>
      <c r="H8" s="8" t="inlineStr">
        <is>
          <t>GP / PMO</t>
        </is>
      </c>
      <c r="I8" s="9" t="n"/>
      <c r="J8" s="8" t="n"/>
      <c r="K8" s="8" t="inlineStr">
        <is>
          <t>A iniciar</t>
        </is>
      </c>
    </row>
    <row r="9">
      <c r="A9" s="7" t="inlineStr">
        <is>
          <t>1.4</t>
        </is>
      </c>
      <c r="B9" s="35" t="inlineStr">
        <is>
          <t xml:space="preserve">   Follow-up Meetings (FUM) mensais</t>
        </is>
      </c>
      <c r="C9" s="8" t="n"/>
      <c r="D9" s="8" t="n"/>
      <c r="E9" s="10" t="inlineStr">
        <is>
          <t>mensal</t>
        </is>
      </c>
      <c r="F9" s="11" t="n">
        <v>46402</v>
      </c>
      <c r="G9" s="9" t="n">
        <v>46615</v>
      </c>
      <c r="H9" s="8" t="inlineStr">
        <is>
          <t>GP</t>
        </is>
      </c>
      <c r="I9" s="9" t="n"/>
      <c r="J9" s="8" t="n"/>
      <c r="K9" s="8" t="inlineStr">
        <is>
          <t>A iniciar</t>
        </is>
      </c>
    </row>
    <row r="10">
      <c r="A10" s="7" t="inlineStr">
        <is>
          <t>1.5</t>
        </is>
      </c>
      <c r="B10" s="35" t="inlineStr">
        <is>
          <t xml:space="preserve">   Close Meeting (CM)</t>
        </is>
      </c>
      <c r="C10" s="8" t="n"/>
      <c r="D10" s="8" t="n"/>
      <c r="E10" s="10" t="n">
        <v>0</v>
      </c>
      <c r="F10" s="42">
        <f>MAX(G33,G44,G55,G67,G78,G89,G100,G111,G122,G133,G144,G155,G167,G178,G189)+7</f>
        <v>46638</v>
      </c>
      <c r="G10" s="9">
        <f>F10+E10</f>
        <v>46638</v>
      </c>
      <c r="H10" s="8" t="inlineStr">
        <is>
          <t>GP / PMO</t>
        </is>
      </c>
      <c r="I10" s="9" t="n"/>
      <c r="J10" s="8" t="n"/>
      <c r="K10" s="8" t="inlineStr">
        <is>
          <t>A iniciar</t>
        </is>
      </c>
    </row>
    <row r="11">
      <c r="A11" s="12" t="inlineStr">
        <is>
          <t>2</t>
        </is>
      </c>
      <c r="B11" s="37" t="inlineStr">
        <is>
          <t>PLANEJAMENTO E SUPRIMENTOS</t>
        </is>
      </c>
      <c r="C11" s="13" t="n"/>
      <c r="D11" s="13" t="n"/>
      <c r="E11" s="13">
        <f>G11-F11</f>
        <v>212</v>
      </c>
      <c r="F11" s="14">
        <f>MIN(F12:F21)</f>
        <v>46329</v>
      </c>
      <c r="G11" s="14">
        <f>MAX(G12:G21)</f>
        <v>46541</v>
      </c>
      <c r="H11" s="13" t="n"/>
      <c r="I11" s="14" t="n"/>
      <c r="J11" s="13" t="n"/>
      <c r="K11" s="13" t="n"/>
    </row>
    <row r="12">
      <c r="A12" s="7" t="inlineStr">
        <is>
          <t>2.1</t>
        </is>
      </c>
      <c r="B12" s="35" t="inlineStr">
        <is>
          <t xml:space="preserve">   Criar PMA de materiais específicos (RL, RT, TripSaver)</t>
        </is>
      </c>
      <c r="C12" s="8" t="n"/>
      <c r="D12" s="8" t="n"/>
      <c r="E12" s="10" t="n">
        <v>30</v>
      </c>
      <c r="F12" s="11" t="n">
        <v>46329</v>
      </c>
      <c r="G12" s="9">
        <f>F12+E12</f>
        <v>46359</v>
      </c>
      <c r="H12" s="8" t="inlineStr">
        <is>
          <t>GP / Suprimentos</t>
        </is>
      </c>
      <c r="I12" s="9" t="n"/>
      <c r="J12" s="8" t="n"/>
      <c r="K12" s="8" t="inlineStr">
        <is>
          <t>A iniciar</t>
        </is>
      </c>
    </row>
    <row r="13">
      <c r="A13" s="7" t="inlineStr">
        <is>
          <t>2.2</t>
        </is>
      </c>
      <c r="B13" s="35" t="inlineStr">
        <is>
          <t xml:space="preserve">   Realizar estudo Site Survey</t>
        </is>
      </c>
      <c r="C13" s="8" t="n"/>
      <c r="D13" s="8" t="n"/>
      <c r="E13" s="10" t="n">
        <v>30</v>
      </c>
      <c r="F13" s="11" t="n">
        <v>46335</v>
      </c>
      <c r="G13" s="9">
        <f>F13+E13</f>
        <v>46365</v>
      </c>
      <c r="H13" s="8" t="inlineStr">
        <is>
          <t>DCMD / Projetista</t>
        </is>
      </c>
      <c r="I13" s="9" t="n"/>
      <c r="J13" s="8" t="n"/>
      <c r="K13" s="8" t="inlineStr">
        <is>
          <t>A iniciar</t>
        </is>
      </c>
    </row>
    <row r="14">
      <c r="A14" s="7" t="inlineStr">
        <is>
          <t>2.3</t>
        </is>
      </c>
      <c r="B14" s="35" t="inlineStr">
        <is>
          <t xml:space="preserve">   Elaborar projetos executivos</t>
        </is>
      </c>
      <c r="C14" s="8" t="n"/>
      <c r="D14" s="8" t="n"/>
      <c r="E14" s="10" t="n">
        <v>60</v>
      </c>
      <c r="F14" s="11" t="n">
        <v>46329</v>
      </c>
      <c r="G14" s="9">
        <f>F14+E14</f>
        <v>46389</v>
      </c>
      <c r="H14" s="8" t="inlineStr">
        <is>
          <t>Projetista</t>
        </is>
      </c>
      <c r="I14" s="9" t="n"/>
      <c r="J14" s="8" t="n"/>
      <c r="K14" s="8" t="inlineStr">
        <is>
          <t>A iniciar</t>
        </is>
      </c>
    </row>
    <row r="15">
      <c r="A15" s="7" t="inlineStr">
        <is>
          <t>2.4</t>
        </is>
      </c>
      <c r="B15" s="35" t="inlineStr">
        <is>
          <t xml:space="preserve">   Analisar projetos executivos (COPC)</t>
        </is>
      </c>
      <c r="C15" s="8" t="n"/>
      <c r="D15" s="8" t="n"/>
      <c r="E15" s="10" t="n">
        <v>15</v>
      </c>
      <c r="F15" s="11" t="n">
        <v>46391</v>
      </c>
      <c r="G15" s="9">
        <f>F15+E15</f>
        <v>46406</v>
      </c>
      <c r="H15" s="8" t="inlineStr">
        <is>
          <t>COPC</t>
        </is>
      </c>
      <c r="I15" s="9" t="n"/>
      <c r="J15" s="8" t="n"/>
      <c r="K15" s="8" t="inlineStr">
        <is>
          <t>A iniciar</t>
        </is>
      </c>
    </row>
    <row r="16">
      <c r="A16" s="7" t="inlineStr">
        <is>
          <t>2.5</t>
        </is>
      </c>
      <c r="B16" s="35" t="inlineStr">
        <is>
          <t xml:space="preserve">   Check de consistência orçamento x projeto executivo</t>
        </is>
      </c>
      <c r="C16" s="8" t="n"/>
      <c r="D16" s="8" t="n"/>
      <c r="E16" s="10" t="n">
        <v>10</v>
      </c>
      <c r="F16" s="11" t="n">
        <v>46407</v>
      </c>
      <c r="G16" s="9">
        <f>F16+E16</f>
        <v>46417</v>
      </c>
      <c r="H16" s="8" t="inlineStr">
        <is>
          <t>GP</t>
        </is>
      </c>
      <c r="I16" s="9" t="n"/>
      <c r="J16" s="8" t="n"/>
      <c r="K16" s="8" t="inlineStr">
        <is>
          <t>A iniciar</t>
        </is>
      </c>
    </row>
    <row r="17">
      <c r="A17" s="7" t="inlineStr">
        <is>
          <t>2.6</t>
        </is>
      </c>
      <c r="B17" s="35" t="inlineStr">
        <is>
          <t xml:space="preserve">   Report da análise para ASPO/DCMD</t>
        </is>
      </c>
      <c r="C17" s="8" t="n"/>
      <c r="D17" s="8" t="n"/>
      <c r="E17" s="10" t="n">
        <v>5</v>
      </c>
      <c r="F17" s="11" t="n">
        <v>46419</v>
      </c>
      <c r="G17" s="9">
        <f>F17+E17</f>
        <v>46424</v>
      </c>
      <c r="H17" s="8" t="inlineStr">
        <is>
          <t>GP</t>
        </is>
      </c>
      <c r="I17" s="9" t="n"/>
      <c r="J17" s="8" t="n"/>
      <c r="K17" s="8" t="inlineStr">
        <is>
          <t>A iniciar</t>
        </is>
      </c>
    </row>
    <row r="18">
      <c r="A18" s="7" t="inlineStr">
        <is>
          <t>2.7</t>
        </is>
      </c>
      <c r="B18" s="35" t="inlineStr">
        <is>
          <t xml:space="preserve">   Receber equipamentos - Lote 1 (B1, B2 e B4 a B12)</t>
        </is>
      </c>
      <c r="C18" s="8" t="n"/>
      <c r="D18" s="8" t="n"/>
      <c r="E18" s="10" t="n">
        <v>0</v>
      </c>
      <c r="F18" s="11" t="n">
        <v>46482</v>
      </c>
      <c r="G18" s="9">
        <f>F18+E18</f>
        <v>46482</v>
      </c>
      <c r="H18" s="8" t="inlineStr">
        <is>
          <t>DEOP / Suprimentos</t>
        </is>
      </c>
      <c r="I18" s="9" t="n"/>
      <c r="J18" s="8" t="n"/>
      <c r="K18" s="8" t="inlineStr">
        <is>
          <t>A iniciar</t>
        </is>
      </c>
    </row>
    <row r="19">
      <c r="A19" s="7" t="inlineStr">
        <is>
          <t>2.8</t>
        </is>
      </c>
      <c r="B19" s="35" t="inlineStr">
        <is>
          <t xml:space="preserve">   Receber equipamentos - Lote 2 (B3 e B13)</t>
        </is>
      </c>
      <c r="C19" s="8" t="n"/>
      <c r="D19" s="8" t="n"/>
      <c r="E19" s="10" t="n">
        <v>0</v>
      </c>
      <c r="F19" s="42">
        <f>MIN(F46,F180)-7</f>
        <v>46535</v>
      </c>
      <c r="G19" s="9">
        <f>F19+E19</f>
        <v>46535</v>
      </c>
      <c r="H19" s="8" t="inlineStr">
        <is>
          <t>DEOP / Suprimentos</t>
        </is>
      </c>
      <c r="I19" s="9" t="n"/>
      <c r="J19" s="8" t="n"/>
      <c r="K19" s="8" t="inlineStr">
        <is>
          <t>A iniciar</t>
        </is>
      </c>
    </row>
    <row r="20">
      <c r="A20" s="7" t="inlineStr">
        <is>
          <t>2.9</t>
        </is>
      </c>
      <c r="B20" s="35" t="inlineStr">
        <is>
          <t xml:space="preserve">   Emitir O.S. e mobilizar EPS - Lote 1</t>
        </is>
      </c>
      <c r="C20" s="8" t="n"/>
      <c r="D20" s="8" t="n"/>
      <c r="E20" s="10" t="n">
        <v>5</v>
      </c>
      <c r="F20" s="42">
        <f>G20-E20</f>
        <v>46477</v>
      </c>
      <c r="G20" s="9">
        <f>MIN(F24,F35,F58,F80,F91,F102,F113,F124,F135,F146,F158)-1</f>
        <v>46482</v>
      </c>
      <c r="H20" s="8" t="inlineStr">
        <is>
          <t>DCMD / Contratação</t>
        </is>
      </c>
      <c r="I20" s="9" t="n"/>
      <c r="J20" s="8" t="n"/>
      <c r="K20" s="8" t="inlineStr">
        <is>
          <t>A iniciar</t>
        </is>
      </c>
    </row>
    <row r="21">
      <c r="A21" s="7" t="inlineStr">
        <is>
          <t>2.10</t>
        </is>
      </c>
      <c r="B21" s="35" t="inlineStr">
        <is>
          <t xml:space="preserve">   Emitir O.S. e mobilizar EPS - Lote 2</t>
        </is>
      </c>
      <c r="C21" s="8" t="n"/>
      <c r="D21" s="8" t="n"/>
      <c r="E21" s="10" t="n">
        <v>5</v>
      </c>
      <c r="F21" s="42">
        <f>G21-E21</f>
        <v>46536</v>
      </c>
      <c r="G21" s="9">
        <f>MIN(F46,F180)-1</f>
        <v>46541</v>
      </c>
      <c r="H21" s="8" t="inlineStr">
        <is>
          <t>DCMD / Contratação</t>
        </is>
      </c>
      <c r="I21" s="9" t="n"/>
      <c r="J21" s="8" t="n"/>
      <c r="K21" s="8" t="inlineStr">
        <is>
          <t>A iniciar</t>
        </is>
      </c>
    </row>
    <row r="22">
      <c r="A22" s="12" t="inlineStr">
        <is>
          <t>3</t>
        </is>
      </c>
      <c r="B22" s="37" t="inlineStr">
        <is>
          <t>REGIONAL NORTE</t>
        </is>
      </c>
      <c r="C22" s="13" t="inlineStr">
        <is>
          <t>Norte</t>
        </is>
      </c>
      <c r="D22" s="13" t="n"/>
      <c r="E22" s="13">
        <f>G22-F22</f>
        <v>148</v>
      </c>
      <c r="F22" s="14">
        <f>MIN(F23:F55)</f>
        <v>46483</v>
      </c>
      <c r="G22" s="14">
        <f>MAX(G23:G55)</f>
        <v>46631</v>
      </c>
      <c r="H22" s="13" t="n"/>
      <c r="I22" s="14" t="n"/>
      <c r="J22" s="13" t="n"/>
      <c r="K22" s="13" t="n"/>
    </row>
    <row r="23">
      <c r="A23" s="4" t="inlineStr">
        <is>
          <t>3.1</t>
        </is>
      </c>
      <c r="B23" s="40" t="inlineStr">
        <is>
          <t>BLOCO 1 - 4 de Araguaína IV - Instalação de 1 RL 13,8 kV (92118)</t>
        </is>
      </c>
      <c r="C23" s="5" t="inlineStr">
        <is>
          <t>Norte</t>
        </is>
      </c>
      <c r="D23" s="5" t="n">
        <v>92118</v>
      </c>
      <c r="E23" s="5">
        <f>G23-F23</f>
        <v>82</v>
      </c>
      <c r="F23" s="6">
        <f>MIN(F24:F33)</f>
        <v>46483</v>
      </c>
      <c r="G23" s="6">
        <f>MAX(G24:G33)</f>
        <v>46565</v>
      </c>
      <c r="H23" s="5" t="inlineStr">
        <is>
          <t>GP</t>
        </is>
      </c>
      <c r="I23" s="6" t="n"/>
      <c r="J23" s="5" t="n"/>
      <c r="K23" s="5" t="inlineStr">
        <is>
          <t>A iniciar</t>
        </is>
      </c>
    </row>
    <row r="24">
      <c r="A24" s="7" t="inlineStr">
        <is>
          <t>3.1.1</t>
        </is>
      </c>
      <c r="B24" s="35" t="inlineStr">
        <is>
          <t xml:space="preserve">   Executar Obras</t>
        </is>
      </c>
      <c r="C24" s="8" t="inlineStr">
        <is>
          <t>Norte</t>
        </is>
      </c>
      <c r="D24" s="8" t="n">
        <v>92118</v>
      </c>
      <c r="E24" s="10" t="n">
        <v>30</v>
      </c>
      <c r="F24" s="9">
        <f>G24-E24</f>
        <v>46483</v>
      </c>
      <c r="G24" s="9">
        <f>F26-1</f>
        <v>46513</v>
      </c>
      <c r="H24" s="8" t="inlineStr">
        <is>
          <t>EPS / Supervisor</t>
        </is>
      </c>
      <c r="I24" s="9" t="n"/>
      <c r="J24" s="8" t="n"/>
      <c r="K24" s="8" t="inlineStr">
        <is>
          <t>A iniciar</t>
        </is>
      </c>
    </row>
    <row r="25">
      <c r="A25" s="7" t="inlineStr">
        <is>
          <t>3.1.2</t>
        </is>
      </c>
      <c r="B25" s="38" t="inlineStr">
        <is>
          <t xml:space="preserve">   Obras Concluídas</t>
        </is>
      </c>
      <c r="C25" s="8" t="inlineStr">
        <is>
          <t>Norte</t>
        </is>
      </c>
      <c r="D25" s="8" t="n">
        <v>92118</v>
      </c>
      <c r="E25" s="10" t="n">
        <v>0</v>
      </c>
      <c r="F25" s="9">
        <f>G24</f>
        <v>46513</v>
      </c>
      <c r="G25" s="9">
        <f>G24</f>
        <v>46513</v>
      </c>
      <c r="H25" s="8" t="inlineStr">
        <is>
          <t>EPS</t>
        </is>
      </c>
      <c r="I25" s="9" t="n"/>
      <c r="J25" s="8" t="n"/>
      <c r="K25" s="8" t="inlineStr">
        <is>
          <t>A iniciar</t>
        </is>
      </c>
    </row>
    <row r="26">
      <c r="A26" s="7" t="inlineStr">
        <is>
          <t>3.1.3</t>
        </is>
      </c>
      <c r="B26" s="35" t="inlineStr">
        <is>
          <t xml:space="preserve">   Fiscalização</t>
        </is>
      </c>
      <c r="C26" s="8" t="inlineStr">
        <is>
          <t>Norte</t>
        </is>
      </c>
      <c r="D26" s="8" t="n">
        <v>92118</v>
      </c>
      <c r="E26" s="10" t="n">
        <v>12</v>
      </c>
      <c r="F26" s="9">
        <f>G26-E26</f>
        <v>46514</v>
      </c>
      <c r="G26" s="9">
        <f>F27-1</f>
        <v>46526</v>
      </c>
      <c r="H26" s="8" t="inlineStr">
        <is>
          <t>Fiscalização DCMD</t>
        </is>
      </c>
      <c r="I26" s="9" t="n"/>
      <c r="J26" s="8" t="n"/>
      <c r="K26" s="8" t="inlineStr">
        <is>
          <t>A iniciar</t>
        </is>
      </c>
    </row>
    <row r="27" ht="24.75" customHeight="1">
      <c r="A27" s="7" t="inlineStr">
        <is>
          <t>3.1.4</t>
        </is>
      </c>
      <c r="B27" s="35" t="inlineStr">
        <is>
          <t xml:space="preserve">   Cadastro EO / Integração parcial</t>
        </is>
      </c>
      <c r="C27" s="8" t="inlineStr">
        <is>
          <t>Norte</t>
        </is>
      </c>
      <c r="D27" s="8" t="n">
        <v>92118</v>
      </c>
      <c r="E27" s="10" t="n">
        <v>10</v>
      </c>
      <c r="F27" s="9">
        <f>G27-E27</f>
        <v>46527</v>
      </c>
      <c r="G27" s="9">
        <f>F30-1</f>
        <v>46537</v>
      </c>
      <c r="H27" s="8" t="inlineStr">
        <is>
          <t>Cadastro EO/TS</t>
        </is>
      </c>
      <c r="I27" s="9" t="n"/>
      <c r="J27" s="8" t="n"/>
      <c r="K27" s="8" t="inlineStr">
        <is>
          <t>A iniciar</t>
        </is>
      </c>
    </row>
    <row r="28">
      <c r="A28" s="7" t="inlineStr">
        <is>
          <t>3.1.5</t>
        </is>
      </c>
      <c r="B28" s="35" t="inlineStr">
        <is>
          <t xml:space="preserve">   Entrega do TCI pela empreiteira / Integração final</t>
        </is>
      </c>
      <c r="C28" s="8" t="inlineStr">
        <is>
          <t>Norte</t>
        </is>
      </c>
      <c r="D28" s="8" t="n">
        <v>92118</v>
      </c>
      <c r="E28" s="10" t="n">
        <v>15</v>
      </c>
      <c r="F28" s="9">
        <f>F30</f>
        <v>46538</v>
      </c>
      <c r="G28" s="9">
        <f>F28+E28</f>
        <v>46553</v>
      </c>
      <c r="H28" s="8" t="inlineStr">
        <is>
          <t>EPS</t>
        </is>
      </c>
      <c r="I28" s="9" t="n"/>
      <c r="J28" s="8" t="n"/>
      <c r="K28" s="8" t="inlineStr">
        <is>
          <t>A iniciar</t>
        </is>
      </c>
    </row>
    <row r="29">
      <c r="A29" s="7" t="inlineStr">
        <is>
          <t>3.1.6</t>
        </is>
      </c>
      <c r="B29" s="35" t="inlineStr">
        <is>
          <t xml:space="preserve">   Abertura de chamado / Atendimento GAT</t>
        </is>
      </c>
      <c r="C29" s="8" t="inlineStr">
        <is>
          <t>Norte</t>
        </is>
      </c>
      <c r="D29" s="8" t="n">
        <v>92118</v>
      </c>
      <c r="E29" s="10" t="n">
        <v>8</v>
      </c>
      <c r="F29" s="9">
        <f>F30</f>
        <v>46538</v>
      </c>
      <c r="G29" s="9">
        <f>F29+E29</f>
        <v>46546</v>
      </c>
      <c r="H29" s="8" t="inlineStr">
        <is>
          <t>GAT</t>
        </is>
      </c>
      <c r="I29" s="9" t="n"/>
      <c r="J29" s="8" t="n"/>
      <c r="K29" s="8" t="inlineStr">
        <is>
          <t>A iniciar</t>
        </is>
      </c>
    </row>
    <row r="30">
      <c r="A30" s="7" t="inlineStr">
        <is>
          <t>3.1.7</t>
        </is>
      </c>
      <c r="B30" s="35" t="inlineStr">
        <is>
          <t xml:space="preserve">   Comissionar Equipamentos</t>
        </is>
      </c>
      <c r="C30" s="8" t="inlineStr">
        <is>
          <t>Norte</t>
        </is>
      </c>
      <c r="D30" s="8" t="n">
        <v>92118</v>
      </c>
      <c r="E30" s="10" t="n">
        <v>15</v>
      </c>
      <c r="F30" s="9">
        <f>G30-E30</f>
        <v>46538</v>
      </c>
      <c r="G30" s="9">
        <f>F31</f>
        <v>46553</v>
      </c>
      <c r="H30" s="8" t="inlineStr">
        <is>
          <t>DMSL / DEOP</t>
        </is>
      </c>
      <c r="I30" s="9" t="n"/>
      <c r="J30" s="8" t="n"/>
      <c r="K30" s="8" t="inlineStr">
        <is>
          <t>A iniciar</t>
        </is>
      </c>
    </row>
    <row r="31">
      <c r="A31" s="7" t="inlineStr">
        <is>
          <t>3.1.8</t>
        </is>
      </c>
      <c r="B31" s="36" t="inlineStr">
        <is>
          <t xml:space="preserve">   Equipamentos em Operação</t>
        </is>
      </c>
      <c r="C31" s="8" t="inlineStr">
        <is>
          <t>Norte</t>
        </is>
      </c>
      <c r="D31" s="8" t="n">
        <v>92118</v>
      </c>
      <c r="E31" s="10" t="n">
        <v>0</v>
      </c>
      <c r="F31" s="11" t="n">
        <v>46553</v>
      </c>
      <c r="G31" s="9">
        <f>F31</f>
        <v>46553</v>
      </c>
      <c r="H31" s="8" t="inlineStr">
        <is>
          <t>DCMD</t>
        </is>
      </c>
      <c r="I31" s="15" t="n">
        <v>46508</v>
      </c>
      <c r="J31" s="41">
        <f>EOMONTH(I31,0)-F31</f>
        <v>-15</v>
      </c>
      <c r="K31" s="8" t="inlineStr">
        <is>
          <t>A iniciar</t>
        </is>
      </c>
    </row>
    <row r="32">
      <c r="A32" s="7" t="inlineStr">
        <is>
          <t>3.1.9</t>
        </is>
      </c>
      <c r="B32" s="35" t="inlineStr">
        <is>
          <t xml:space="preserve">   Encerramento Técnico</t>
        </is>
      </c>
      <c r="C32" s="8" t="inlineStr">
        <is>
          <t>Norte</t>
        </is>
      </c>
      <c r="D32" s="8" t="n">
        <v>92118</v>
      </c>
      <c r="E32" s="10" t="n">
        <v>7</v>
      </c>
      <c r="F32" s="9">
        <f>G31+1</f>
        <v>46554</v>
      </c>
      <c r="G32" s="9">
        <f>F32+E32</f>
        <v>46561</v>
      </c>
      <c r="H32" s="8" t="inlineStr">
        <is>
          <t>DCMD</t>
        </is>
      </c>
      <c r="I32" s="9" t="n"/>
      <c r="J32" s="8" t="n"/>
      <c r="K32" s="8" t="inlineStr">
        <is>
          <t>A iniciar</t>
        </is>
      </c>
    </row>
    <row r="33">
      <c r="A33" s="7" t="inlineStr">
        <is>
          <t>3.1.10</t>
        </is>
      </c>
      <c r="B33" s="35" t="inlineStr">
        <is>
          <t xml:space="preserve">   Encerramento Contábil</t>
        </is>
      </c>
      <c r="C33" s="8" t="inlineStr">
        <is>
          <t>Norte</t>
        </is>
      </c>
      <c r="D33" s="8" t="n">
        <v>92118</v>
      </c>
      <c r="E33" s="10" t="n">
        <v>3</v>
      </c>
      <c r="F33" s="9">
        <f>G32+1</f>
        <v>46562</v>
      </c>
      <c r="G33" s="9">
        <f>F33+E33</f>
        <v>46565</v>
      </c>
      <c r="H33" s="8" t="inlineStr">
        <is>
          <t>DCMD / Contábil</t>
        </is>
      </c>
      <c r="I33" s="9" t="n"/>
      <c r="J33" s="8" t="n"/>
      <c r="K33" s="8" t="inlineStr">
        <is>
          <t>A iniciar</t>
        </is>
      </c>
    </row>
    <row r="34">
      <c r="A34" s="4" t="inlineStr">
        <is>
          <t>3.2</t>
        </is>
      </c>
      <c r="B34" s="40" t="inlineStr">
        <is>
          <t>BLOCO 2 - LD Xambioá II - Araguanã - Instalação de 2 RT 34,5 kV (89267)</t>
        </is>
      </c>
      <c r="C34" s="5" t="inlineStr">
        <is>
          <t>Norte</t>
        </is>
      </c>
      <c r="D34" s="5" t="n">
        <v>89267</v>
      </c>
      <c r="E34" s="5">
        <f>G34-F34</f>
        <v>82</v>
      </c>
      <c r="F34" s="6">
        <f>MIN(F35:F44)</f>
        <v>46483</v>
      </c>
      <c r="G34" s="6">
        <f>MAX(G35:G44)</f>
        <v>46565</v>
      </c>
      <c r="H34" s="5" t="inlineStr">
        <is>
          <t>GP</t>
        </is>
      </c>
      <c r="I34" s="6" t="n"/>
      <c r="J34" s="5" t="n"/>
      <c r="K34" s="5" t="inlineStr">
        <is>
          <t>A iniciar</t>
        </is>
      </c>
    </row>
    <row r="35">
      <c r="A35" s="7" t="inlineStr">
        <is>
          <t>3.2.1</t>
        </is>
      </c>
      <c r="B35" s="35" t="inlineStr">
        <is>
          <t xml:space="preserve">   Executar Obras</t>
        </is>
      </c>
      <c r="C35" s="8" t="inlineStr">
        <is>
          <t>Norte</t>
        </is>
      </c>
      <c r="D35" s="8" t="n">
        <v>89267</v>
      </c>
      <c r="E35" s="10" t="n">
        <v>30</v>
      </c>
      <c r="F35" s="9">
        <f>G35-E35</f>
        <v>46483</v>
      </c>
      <c r="G35" s="9">
        <f>F37-1</f>
        <v>46513</v>
      </c>
      <c r="H35" s="8" t="inlineStr">
        <is>
          <t>EPS / Supervisor</t>
        </is>
      </c>
      <c r="I35" s="9" t="n"/>
      <c r="J35" s="8" t="n"/>
      <c r="K35" s="8" t="inlineStr">
        <is>
          <t>A iniciar</t>
        </is>
      </c>
    </row>
    <row r="36">
      <c r="A36" s="7" t="inlineStr">
        <is>
          <t>3.2.2</t>
        </is>
      </c>
      <c r="B36" s="38" t="inlineStr">
        <is>
          <t xml:space="preserve">   Obras Concluídas</t>
        </is>
      </c>
      <c r="C36" s="8" t="inlineStr">
        <is>
          <t>Norte</t>
        </is>
      </c>
      <c r="D36" s="8" t="n">
        <v>89267</v>
      </c>
      <c r="E36" s="10" t="n">
        <v>0</v>
      </c>
      <c r="F36" s="9">
        <f>G35</f>
        <v>46513</v>
      </c>
      <c r="G36" s="9">
        <f>G35</f>
        <v>46513</v>
      </c>
      <c r="H36" s="8" t="inlineStr">
        <is>
          <t>EPS</t>
        </is>
      </c>
      <c r="I36" s="9" t="n"/>
      <c r="J36" s="8" t="n"/>
      <c r="K36" s="8" t="inlineStr">
        <is>
          <t>A iniciar</t>
        </is>
      </c>
    </row>
    <row r="37">
      <c r="A37" s="7" t="inlineStr">
        <is>
          <t>3.2.3</t>
        </is>
      </c>
      <c r="B37" s="35" t="inlineStr">
        <is>
          <t xml:space="preserve">   Fiscalização</t>
        </is>
      </c>
      <c r="C37" s="8" t="inlineStr">
        <is>
          <t>Norte</t>
        </is>
      </c>
      <c r="D37" s="8" t="n">
        <v>89267</v>
      </c>
      <c r="E37" s="10" t="n">
        <v>12</v>
      </c>
      <c r="F37" s="9">
        <f>G37-E37</f>
        <v>46514</v>
      </c>
      <c r="G37" s="9">
        <f>F38-1</f>
        <v>46526</v>
      </c>
      <c r="H37" s="8" t="inlineStr">
        <is>
          <t>Fiscalização DCMD</t>
        </is>
      </c>
      <c r="I37" s="9" t="n"/>
      <c r="J37" s="8" t="n"/>
      <c r="K37" s="8" t="inlineStr">
        <is>
          <t>A iniciar</t>
        </is>
      </c>
    </row>
    <row r="38" ht="24.75" customHeight="1">
      <c r="A38" s="7" t="inlineStr">
        <is>
          <t>3.2.4</t>
        </is>
      </c>
      <c r="B38" s="35" t="inlineStr">
        <is>
          <t xml:space="preserve">   Cadastro EO / Integração parcial</t>
        </is>
      </c>
      <c r="C38" s="8" t="inlineStr">
        <is>
          <t>Norte</t>
        </is>
      </c>
      <c r="D38" s="8" t="n">
        <v>89267</v>
      </c>
      <c r="E38" s="10" t="n">
        <v>10</v>
      </c>
      <c r="F38" s="9">
        <f>G38-E38</f>
        <v>46527</v>
      </c>
      <c r="G38" s="9">
        <f>F41-1</f>
        <v>46537</v>
      </c>
      <c r="H38" s="8" t="inlineStr">
        <is>
          <t>Cadastro EO/TS</t>
        </is>
      </c>
      <c r="I38" s="9" t="n"/>
      <c r="J38" s="8" t="n"/>
      <c r="K38" s="8" t="inlineStr">
        <is>
          <t>A iniciar</t>
        </is>
      </c>
    </row>
    <row r="39">
      <c r="A39" s="7" t="inlineStr">
        <is>
          <t>3.2.5</t>
        </is>
      </c>
      <c r="B39" s="35" t="inlineStr">
        <is>
          <t xml:space="preserve">   Entrega do TCI pela empreiteira / Integração final</t>
        </is>
      </c>
      <c r="C39" s="8" t="inlineStr">
        <is>
          <t>Norte</t>
        </is>
      </c>
      <c r="D39" s="8" t="n">
        <v>89267</v>
      </c>
      <c r="E39" s="10" t="n">
        <v>15</v>
      </c>
      <c r="F39" s="9">
        <f>F41</f>
        <v>46538</v>
      </c>
      <c r="G39" s="9">
        <f>F39+E39</f>
        <v>46553</v>
      </c>
      <c r="H39" s="8" t="inlineStr">
        <is>
          <t>EPS</t>
        </is>
      </c>
      <c r="I39" s="9" t="n"/>
      <c r="J39" s="8" t="n"/>
      <c r="K39" s="8" t="inlineStr">
        <is>
          <t>A iniciar</t>
        </is>
      </c>
    </row>
    <row r="40">
      <c r="A40" s="7" t="inlineStr">
        <is>
          <t>3.2.6</t>
        </is>
      </c>
      <c r="B40" s="35" t="inlineStr">
        <is>
          <t xml:space="preserve">   Abertura de chamado / Atendimento GAT</t>
        </is>
      </c>
      <c r="C40" s="8" t="inlineStr">
        <is>
          <t>Norte</t>
        </is>
      </c>
      <c r="D40" s="8" t="n">
        <v>89267</v>
      </c>
      <c r="E40" s="10" t="n">
        <v>8</v>
      </c>
      <c r="F40" s="9">
        <f>F41</f>
        <v>46538</v>
      </c>
      <c r="G40" s="9">
        <f>F40+E40</f>
        <v>46546</v>
      </c>
      <c r="H40" s="8" t="inlineStr">
        <is>
          <t>GAT</t>
        </is>
      </c>
      <c r="I40" s="9" t="n"/>
      <c r="J40" s="8" t="n"/>
      <c r="K40" s="8" t="inlineStr">
        <is>
          <t>A iniciar</t>
        </is>
      </c>
    </row>
    <row r="41">
      <c r="A41" s="7" t="inlineStr">
        <is>
          <t>3.2.7</t>
        </is>
      </c>
      <c r="B41" s="35" t="inlineStr">
        <is>
          <t xml:space="preserve">   Comissionar Equipamentos</t>
        </is>
      </c>
      <c r="C41" s="8" t="inlineStr">
        <is>
          <t>Norte</t>
        </is>
      </c>
      <c r="D41" s="8" t="n">
        <v>89267</v>
      </c>
      <c r="E41" s="10" t="n">
        <v>15</v>
      </c>
      <c r="F41" s="9">
        <f>G41-E41</f>
        <v>46538</v>
      </c>
      <c r="G41" s="9">
        <f>F42</f>
        <v>46553</v>
      </c>
      <c r="H41" s="8" t="inlineStr">
        <is>
          <t>DMSL / DEOP</t>
        </is>
      </c>
      <c r="I41" s="9" t="n"/>
      <c r="J41" s="8" t="n"/>
      <c r="K41" s="8" t="inlineStr">
        <is>
          <t>A iniciar</t>
        </is>
      </c>
    </row>
    <row r="42">
      <c r="A42" s="7" t="inlineStr">
        <is>
          <t>3.2.8</t>
        </is>
      </c>
      <c r="B42" s="36" t="inlineStr">
        <is>
          <t xml:space="preserve">   Equipamentos em Operação</t>
        </is>
      </c>
      <c r="C42" s="8" t="inlineStr">
        <is>
          <t>Norte</t>
        </is>
      </c>
      <c r="D42" s="8" t="n">
        <v>89267</v>
      </c>
      <c r="E42" s="10" t="n">
        <v>0</v>
      </c>
      <c r="F42" s="11" t="n">
        <v>46553</v>
      </c>
      <c r="G42" s="9">
        <f>F42</f>
        <v>46553</v>
      </c>
      <c r="H42" s="8" t="inlineStr">
        <is>
          <t>DCMD</t>
        </is>
      </c>
      <c r="I42" s="15" t="n">
        <v>46508</v>
      </c>
      <c r="J42" s="41">
        <f>EOMONTH(I42,0)-F42</f>
        <v>-15</v>
      </c>
      <c r="K42" s="8" t="inlineStr">
        <is>
          <t>A iniciar</t>
        </is>
      </c>
    </row>
    <row r="43">
      <c r="A43" s="7" t="inlineStr">
        <is>
          <t>3.2.9</t>
        </is>
      </c>
      <c r="B43" s="35" t="inlineStr">
        <is>
          <t xml:space="preserve">   Encerramento Técnico</t>
        </is>
      </c>
      <c r="C43" s="8" t="inlineStr">
        <is>
          <t>Norte</t>
        </is>
      </c>
      <c r="D43" s="8" t="n">
        <v>89267</v>
      </c>
      <c r="E43" s="10" t="n">
        <v>7</v>
      </c>
      <c r="F43" s="9">
        <f>G42+1</f>
        <v>46554</v>
      </c>
      <c r="G43" s="9">
        <f>F43+E43</f>
        <v>46561</v>
      </c>
      <c r="H43" s="8" t="inlineStr">
        <is>
          <t>DCMD</t>
        </is>
      </c>
      <c r="I43" s="9" t="n"/>
      <c r="J43" s="8" t="n"/>
      <c r="K43" s="8" t="inlineStr">
        <is>
          <t>A iniciar</t>
        </is>
      </c>
    </row>
    <row r="44">
      <c r="A44" s="7" t="inlineStr">
        <is>
          <t>3.2.10</t>
        </is>
      </c>
      <c r="B44" s="35" t="inlineStr">
        <is>
          <t xml:space="preserve">   Encerramento Contábil</t>
        </is>
      </c>
      <c r="C44" s="8" t="inlineStr">
        <is>
          <t>Norte</t>
        </is>
      </c>
      <c r="D44" s="8" t="n">
        <v>89267</v>
      </c>
      <c r="E44" s="10" t="n">
        <v>3</v>
      </c>
      <c r="F44" s="9">
        <f>G43+1</f>
        <v>46562</v>
      </c>
      <c r="G44" s="9">
        <f>F44+E44</f>
        <v>46565</v>
      </c>
      <c r="H44" s="8" t="inlineStr">
        <is>
          <t>DCMD / Contábil</t>
        </is>
      </c>
      <c r="I44" s="9" t="n"/>
      <c r="J44" s="8" t="n"/>
      <c r="K44" s="8" t="inlineStr">
        <is>
          <t>A iniciar</t>
        </is>
      </c>
    </row>
    <row r="45">
      <c r="A45" s="4" t="inlineStr">
        <is>
          <t>3.3</t>
        </is>
      </c>
      <c r="B45" s="40" t="inlineStr">
        <is>
          <t>BLOCO 3 - LD Araguaína - Babaçulândia - Instalação de 1 RT 34,5 kV (89249)</t>
        </is>
      </c>
      <c r="C45" s="5" t="inlineStr">
        <is>
          <t>Norte</t>
        </is>
      </c>
      <c r="D45" s="5" t="n">
        <v>89249</v>
      </c>
      <c r="E45" s="5">
        <f>G45-F45</f>
        <v>82</v>
      </c>
      <c r="F45" s="6">
        <f>MIN(F46:F55)</f>
        <v>46549</v>
      </c>
      <c r="G45" s="6">
        <f>MAX(G46:G55)</f>
        <v>46631</v>
      </c>
      <c r="H45" s="5" t="inlineStr">
        <is>
          <t>GP</t>
        </is>
      </c>
      <c r="I45" s="6" t="n"/>
      <c r="J45" s="5" t="n"/>
      <c r="K45" s="5" t="inlineStr">
        <is>
          <t>A iniciar</t>
        </is>
      </c>
    </row>
    <row r="46">
      <c r="A46" s="7" t="inlineStr">
        <is>
          <t>3.3.1</t>
        </is>
      </c>
      <c r="B46" s="35" t="inlineStr">
        <is>
          <t xml:space="preserve">   Executar Obras</t>
        </is>
      </c>
      <c r="C46" s="8" t="inlineStr">
        <is>
          <t>Norte</t>
        </is>
      </c>
      <c r="D46" s="8" t="n">
        <v>89249</v>
      </c>
      <c r="E46" s="10" t="n">
        <v>30</v>
      </c>
      <c r="F46" s="9">
        <f>G46-E46</f>
        <v>46549</v>
      </c>
      <c r="G46" s="9">
        <f>F48-1</f>
        <v>46579</v>
      </c>
      <c r="H46" s="8" t="inlineStr">
        <is>
          <t>EPS / Supervisor</t>
        </is>
      </c>
      <c r="I46" s="9" t="n"/>
      <c r="J46" s="8" t="n"/>
      <c r="K46" s="8" t="inlineStr">
        <is>
          <t>A iniciar</t>
        </is>
      </c>
    </row>
    <row r="47">
      <c r="A47" s="7" t="inlineStr">
        <is>
          <t>3.3.2</t>
        </is>
      </c>
      <c r="B47" s="38" t="inlineStr">
        <is>
          <t xml:space="preserve">   Obras Concluídas</t>
        </is>
      </c>
      <c r="C47" s="8" t="inlineStr">
        <is>
          <t>Norte</t>
        </is>
      </c>
      <c r="D47" s="8" t="n">
        <v>89249</v>
      </c>
      <c r="E47" s="10" t="n">
        <v>0</v>
      </c>
      <c r="F47" s="9">
        <f>G46</f>
        <v>46579</v>
      </c>
      <c r="G47" s="9">
        <f>G46</f>
        <v>46579</v>
      </c>
      <c r="H47" s="8" t="inlineStr">
        <is>
          <t>EPS</t>
        </is>
      </c>
      <c r="I47" s="9" t="n"/>
      <c r="J47" s="8" t="n"/>
      <c r="K47" s="8" t="inlineStr">
        <is>
          <t>A iniciar</t>
        </is>
      </c>
    </row>
    <row r="48">
      <c r="A48" s="7" t="inlineStr">
        <is>
          <t>3.3.3</t>
        </is>
      </c>
      <c r="B48" s="35" t="inlineStr">
        <is>
          <t xml:space="preserve">   Fiscalização</t>
        </is>
      </c>
      <c r="C48" s="8" t="inlineStr">
        <is>
          <t>Norte</t>
        </is>
      </c>
      <c r="D48" s="8" t="n">
        <v>89249</v>
      </c>
      <c r="E48" s="10" t="n">
        <v>12</v>
      </c>
      <c r="F48" s="9">
        <f>G48-E48</f>
        <v>46580</v>
      </c>
      <c r="G48" s="9">
        <f>F49-1</f>
        <v>46592</v>
      </c>
      <c r="H48" s="8" t="inlineStr">
        <is>
          <t>Fiscalização DCMD</t>
        </is>
      </c>
      <c r="I48" s="9" t="n"/>
      <c r="J48" s="8" t="n"/>
      <c r="K48" s="8" t="inlineStr">
        <is>
          <t>A iniciar</t>
        </is>
      </c>
    </row>
    <row r="49">
      <c r="A49" s="7" t="inlineStr">
        <is>
          <t>3.3.4</t>
        </is>
      </c>
      <c r="B49" s="35" t="inlineStr">
        <is>
          <t xml:space="preserve">   Cadastro EO / Integração parcial</t>
        </is>
      </c>
      <c r="C49" s="8" t="inlineStr">
        <is>
          <t>Norte</t>
        </is>
      </c>
      <c r="D49" s="8" t="n">
        <v>89249</v>
      </c>
      <c r="E49" s="10" t="n">
        <v>10</v>
      </c>
      <c r="F49" s="9">
        <f>G49-E49</f>
        <v>46593</v>
      </c>
      <c r="G49" s="9">
        <f>F52-1</f>
        <v>46603</v>
      </c>
      <c r="H49" s="8" t="inlineStr">
        <is>
          <t>Cadastro EO/TS</t>
        </is>
      </c>
      <c r="I49" s="9" t="n"/>
      <c r="J49" s="8" t="n"/>
      <c r="K49" s="8" t="inlineStr">
        <is>
          <t>A iniciar</t>
        </is>
      </c>
    </row>
    <row r="50" ht="24.75" customHeight="1">
      <c r="A50" s="7" t="inlineStr">
        <is>
          <t>3.3.5</t>
        </is>
      </c>
      <c r="B50" s="35" t="inlineStr">
        <is>
          <t xml:space="preserve">   Entrega do TCI pela empreiteira / Integração final</t>
        </is>
      </c>
      <c r="C50" s="8" t="inlineStr">
        <is>
          <t>Norte</t>
        </is>
      </c>
      <c r="D50" s="8" t="n">
        <v>89249</v>
      </c>
      <c r="E50" s="10" t="n">
        <v>15</v>
      </c>
      <c r="F50" s="9">
        <f>F52</f>
        <v>46604</v>
      </c>
      <c r="G50" s="9">
        <f>F50+E50</f>
        <v>46619</v>
      </c>
      <c r="H50" s="8" t="inlineStr">
        <is>
          <t>EPS</t>
        </is>
      </c>
      <c r="I50" s="9" t="n"/>
      <c r="J50" s="8" t="n"/>
      <c r="K50" s="8" t="inlineStr">
        <is>
          <t>A iniciar</t>
        </is>
      </c>
    </row>
    <row r="51">
      <c r="A51" s="7" t="inlineStr">
        <is>
          <t>3.3.6</t>
        </is>
      </c>
      <c r="B51" s="35" t="inlineStr">
        <is>
          <t xml:space="preserve">   Abertura de chamado / Atendimento GAT</t>
        </is>
      </c>
      <c r="C51" s="8" t="inlineStr">
        <is>
          <t>Norte</t>
        </is>
      </c>
      <c r="D51" s="8" t="n">
        <v>89249</v>
      </c>
      <c r="E51" s="10" t="n">
        <v>8</v>
      </c>
      <c r="F51" s="9">
        <f>F52</f>
        <v>46604</v>
      </c>
      <c r="G51" s="9">
        <f>F51+E51</f>
        <v>46612</v>
      </c>
      <c r="H51" s="8" t="inlineStr">
        <is>
          <t>GAT</t>
        </is>
      </c>
      <c r="I51" s="9" t="n"/>
      <c r="J51" s="8" t="n"/>
      <c r="K51" s="8" t="inlineStr">
        <is>
          <t>A iniciar</t>
        </is>
      </c>
    </row>
    <row r="52">
      <c r="A52" s="7" t="inlineStr">
        <is>
          <t>3.3.7</t>
        </is>
      </c>
      <c r="B52" s="35" t="inlineStr">
        <is>
          <t xml:space="preserve">   Comissionar Equipamentos</t>
        </is>
      </c>
      <c r="C52" s="8" t="inlineStr">
        <is>
          <t>Norte</t>
        </is>
      </c>
      <c r="D52" s="8" t="n">
        <v>89249</v>
      </c>
      <c r="E52" s="10" t="n">
        <v>15</v>
      </c>
      <c r="F52" s="9">
        <f>G52-E52</f>
        <v>46604</v>
      </c>
      <c r="G52" s="9">
        <f>F53</f>
        <v>46619</v>
      </c>
      <c r="H52" s="8" t="inlineStr">
        <is>
          <t>DMSL / DEOP</t>
        </is>
      </c>
      <c r="I52" s="9" t="n"/>
      <c r="J52" s="8" t="n"/>
      <c r="K52" s="8" t="inlineStr">
        <is>
          <t>A iniciar</t>
        </is>
      </c>
    </row>
    <row r="53">
      <c r="A53" s="7" t="inlineStr">
        <is>
          <t>3.3.8</t>
        </is>
      </c>
      <c r="B53" s="36" t="inlineStr">
        <is>
          <t xml:space="preserve">   Equipamentos em Operação</t>
        </is>
      </c>
      <c r="C53" s="8" t="inlineStr">
        <is>
          <t>Norte</t>
        </is>
      </c>
      <c r="D53" s="8" t="n">
        <v>89249</v>
      </c>
      <c r="E53" s="10" t="n">
        <v>0</v>
      </c>
      <c r="F53" s="11" t="n">
        <v>46619</v>
      </c>
      <c r="G53" s="9">
        <f>F53</f>
        <v>46619</v>
      </c>
      <c r="H53" s="8" t="inlineStr">
        <is>
          <t>DCMD</t>
        </is>
      </c>
      <c r="I53" s="15" t="n">
        <v>46600</v>
      </c>
      <c r="J53" s="41">
        <f>EOMONTH(I53,0)-F53</f>
        <v>11</v>
      </c>
      <c r="K53" s="8" t="inlineStr">
        <is>
          <t>A iniciar</t>
        </is>
      </c>
    </row>
    <row r="54">
      <c r="A54" s="7" t="inlineStr">
        <is>
          <t>3.3.9</t>
        </is>
      </c>
      <c r="B54" s="35" t="inlineStr">
        <is>
          <t xml:space="preserve">   Encerramento Técnico</t>
        </is>
      </c>
      <c r="C54" s="8" t="inlineStr">
        <is>
          <t>Norte</t>
        </is>
      </c>
      <c r="D54" s="8" t="n">
        <v>89249</v>
      </c>
      <c r="E54" s="10" t="n">
        <v>7</v>
      </c>
      <c r="F54" s="9">
        <f>G53+1</f>
        <v>46620</v>
      </c>
      <c r="G54" s="9">
        <f>F54+E54</f>
        <v>46627</v>
      </c>
      <c r="H54" s="8" t="inlineStr">
        <is>
          <t>DCMD</t>
        </is>
      </c>
      <c r="I54" s="9" t="n"/>
      <c r="J54" s="8" t="n"/>
      <c r="K54" s="8" t="inlineStr">
        <is>
          <t>A iniciar</t>
        </is>
      </c>
    </row>
    <row r="55">
      <c r="A55" s="7" t="inlineStr">
        <is>
          <t>3.3.10</t>
        </is>
      </c>
      <c r="B55" s="35" t="inlineStr">
        <is>
          <t xml:space="preserve">   Encerramento Contábil</t>
        </is>
      </c>
      <c r="C55" s="8" t="inlineStr">
        <is>
          <t>Norte</t>
        </is>
      </c>
      <c r="D55" s="8" t="n">
        <v>89249</v>
      </c>
      <c r="E55" s="10" t="n">
        <v>3</v>
      </c>
      <c r="F55" s="9">
        <f>G54+1</f>
        <v>46628</v>
      </c>
      <c r="G55" s="9">
        <f>F55+E55</f>
        <v>46631</v>
      </c>
      <c r="H55" s="8" t="inlineStr">
        <is>
          <t>DCMD / Contábil</t>
        </is>
      </c>
      <c r="I55" s="9" t="n"/>
      <c r="J55" s="8" t="n"/>
      <c r="K55" s="8" t="inlineStr">
        <is>
          <t>A iniciar</t>
        </is>
      </c>
    </row>
    <row r="56">
      <c r="A56" s="12" t="inlineStr">
        <is>
          <t>4</t>
        </is>
      </c>
      <c r="B56" s="37" t="inlineStr">
        <is>
          <t>REGIONAL CENTRO</t>
        </is>
      </c>
      <c r="C56" s="13" t="inlineStr">
        <is>
          <t>Centro</t>
        </is>
      </c>
      <c r="D56" s="13" t="n"/>
      <c r="E56" s="13">
        <f>G56-F56</f>
        <v>97</v>
      </c>
      <c r="F56" s="14">
        <f>MIN(F68:F155)</f>
        <v>46483</v>
      </c>
      <c r="G56" s="14">
        <f>MAX(G68:G155)</f>
        <v>46580</v>
      </c>
      <c r="H56" s="13" t="n"/>
      <c r="I56" s="14" t="n"/>
      <c r="J56" s="13" t="n"/>
      <c r="K56" s="13" t="n"/>
    </row>
    <row r="57">
      <c r="A57" s="4" t="inlineStr">
        <is>
          <t>4.1</t>
        </is>
      </c>
      <c r="B57" s="40" t="inlineStr">
        <is>
          <t>BLOCO 4 - LD UHE Isamu - Ponte Alta - Construção de 0,25 km RD MT CABO 3 # 1/0 AWG  (Parte I) (90811)</t>
        </is>
      </c>
      <c r="C57" s="5" t="inlineStr">
        <is>
          <t>Centro</t>
        </is>
      </c>
      <c r="D57" s="5" t="n">
        <v>90811</v>
      </c>
      <c r="E57" s="5">
        <f>G57-F57</f>
        <v>97</v>
      </c>
      <c r="F57" s="6">
        <f>MIN(F58:F67)</f>
        <v>46483</v>
      </c>
      <c r="G57" s="6">
        <f>MAX(G58:G67)</f>
        <v>46580</v>
      </c>
      <c r="H57" s="5" t="inlineStr">
        <is>
          <t>GP</t>
        </is>
      </c>
      <c r="I57" s="6" t="n"/>
      <c r="J57" s="5" t="n"/>
      <c r="K57" s="5" t="inlineStr">
        <is>
          <t>A iniciar</t>
        </is>
      </c>
    </row>
    <row r="58">
      <c r="A58" s="7" t="inlineStr">
        <is>
          <t>4.1.1</t>
        </is>
      </c>
      <c r="B58" s="35" t="inlineStr">
        <is>
          <t xml:space="preserve">   Executar Obras</t>
        </is>
      </c>
      <c r="C58" s="8" t="inlineStr">
        <is>
          <t>Centro</t>
        </is>
      </c>
      <c r="D58" s="8" t="n">
        <v>90811</v>
      </c>
      <c r="E58" s="10" t="n">
        <v>45</v>
      </c>
      <c r="F58" s="9">
        <f>G58-E58</f>
        <v>46483</v>
      </c>
      <c r="G58" s="9">
        <f>F60-1</f>
        <v>46528</v>
      </c>
      <c r="H58" s="8" t="inlineStr">
        <is>
          <t>EPS / Supervisor</t>
        </is>
      </c>
      <c r="I58" s="9" t="n"/>
      <c r="J58" s="8" t="n"/>
      <c r="K58" s="8" t="inlineStr">
        <is>
          <t>A iniciar</t>
        </is>
      </c>
    </row>
    <row r="59">
      <c r="A59" s="7" t="inlineStr">
        <is>
          <t>4.1.2</t>
        </is>
      </c>
      <c r="B59" s="38" t="inlineStr">
        <is>
          <t xml:space="preserve">   Obras Concluídas</t>
        </is>
      </c>
      <c r="C59" s="8" t="inlineStr">
        <is>
          <t>Centro</t>
        </is>
      </c>
      <c r="D59" s="8" t="n">
        <v>90811</v>
      </c>
      <c r="E59" s="10" t="n">
        <v>0</v>
      </c>
      <c r="F59" s="9">
        <f>G58</f>
        <v>46528</v>
      </c>
      <c r="G59" s="9">
        <f>G58</f>
        <v>46528</v>
      </c>
      <c r="H59" s="8" t="inlineStr">
        <is>
          <t>EPS</t>
        </is>
      </c>
      <c r="I59" s="9" t="n"/>
      <c r="J59" s="8" t="n"/>
      <c r="K59" s="8" t="inlineStr">
        <is>
          <t>A iniciar</t>
        </is>
      </c>
    </row>
    <row r="60">
      <c r="A60" s="7" t="inlineStr">
        <is>
          <t>4.1.3</t>
        </is>
      </c>
      <c r="B60" s="35" t="inlineStr">
        <is>
          <t xml:space="preserve">   Fiscalização</t>
        </is>
      </c>
      <c r="C60" s="8" t="inlineStr">
        <is>
          <t>Centro</t>
        </is>
      </c>
      <c r="D60" s="8" t="n">
        <v>90811</v>
      </c>
      <c r="E60" s="10" t="n">
        <v>12</v>
      </c>
      <c r="F60" s="9">
        <f>G60-E60</f>
        <v>46529</v>
      </c>
      <c r="G60" s="9">
        <f>F61-1</f>
        <v>46541</v>
      </c>
      <c r="H60" s="8" t="inlineStr">
        <is>
          <t>Fiscalização DCMD</t>
        </is>
      </c>
      <c r="I60" s="9" t="n"/>
      <c r="J60" s="8" t="n"/>
      <c r="K60" s="8" t="inlineStr">
        <is>
          <t>A iniciar</t>
        </is>
      </c>
    </row>
    <row r="61" ht="24.75" customHeight="1">
      <c r="A61" s="7" t="inlineStr">
        <is>
          <t>4.1.4</t>
        </is>
      </c>
      <c r="B61" s="35" t="inlineStr">
        <is>
          <t xml:space="preserve">   Cadastro EO / Integração parcial</t>
        </is>
      </c>
      <c r="C61" s="8" t="inlineStr">
        <is>
          <t>Centro</t>
        </is>
      </c>
      <c r="D61" s="8" t="n">
        <v>90811</v>
      </c>
      <c r="E61" s="10" t="n">
        <v>10</v>
      </c>
      <c r="F61" s="9">
        <f>G61-E61</f>
        <v>46542</v>
      </c>
      <c r="G61" s="9">
        <f>F64-1</f>
        <v>46552</v>
      </c>
      <c r="H61" s="8" t="inlineStr">
        <is>
          <t>Cadastro EO/TS</t>
        </is>
      </c>
      <c r="I61" s="9" t="n"/>
      <c r="J61" s="8" t="n"/>
      <c r="K61" s="8" t="inlineStr">
        <is>
          <t>A iniciar</t>
        </is>
      </c>
    </row>
    <row r="62">
      <c r="A62" s="7" t="inlineStr">
        <is>
          <t>4.1.5</t>
        </is>
      </c>
      <c r="B62" s="35" t="inlineStr">
        <is>
          <t xml:space="preserve">   Entrega do TCI pela empreiteira / Integração final</t>
        </is>
      </c>
      <c r="C62" s="8" t="inlineStr">
        <is>
          <t>Centro</t>
        </is>
      </c>
      <c r="D62" s="8" t="n">
        <v>90811</v>
      </c>
      <c r="E62" s="10" t="n">
        <v>15</v>
      </c>
      <c r="F62" s="9">
        <f>F64</f>
        <v>46553</v>
      </c>
      <c r="G62" s="9">
        <f>F62+E62</f>
        <v>46568</v>
      </c>
      <c r="H62" s="8" t="inlineStr">
        <is>
          <t>EPS</t>
        </is>
      </c>
      <c r="I62" s="9" t="n"/>
      <c r="J62" s="8" t="n"/>
      <c r="K62" s="8" t="inlineStr">
        <is>
          <t>A iniciar</t>
        </is>
      </c>
    </row>
    <row r="63">
      <c r="A63" s="7" t="inlineStr">
        <is>
          <t>4.1.6</t>
        </is>
      </c>
      <c r="B63" s="35" t="inlineStr">
        <is>
          <t xml:space="preserve">   Abertura de chamado / Atendimento GAT</t>
        </is>
      </c>
      <c r="C63" s="8" t="inlineStr">
        <is>
          <t>Centro</t>
        </is>
      </c>
      <c r="D63" s="8" t="n">
        <v>90811</v>
      </c>
      <c r="E63" s="10" t="n">
        <v>8</v>
      </c>
      <c r="F63" s="9">
        <f>F64</f>
        <v>46553</v>
      </c>
      <c r="G63" s="9">
        <f>F63+E63</f>
        <v>46561</v>
      </c>
      <c r="H63" s="8" t="inlineStr">
        <is>
          <t>GAT</t>
        </is>
      </c>
      <c r="I63" s="9" t="n"/>
      <c r="J63" s="8" t="n"/>
      <c r="K63" s="8" t="inlineStr">
        <is>
          <t>A iniciar</t>
        </is>
      </c>
    </row>
    <row r="64">
      <c r="A64" s="7" t="inlineStr">
        <is>
          <t>4.1.7</t>
        </is>
      </c>
      <c r="B64" s="35" t="inlineStr">
        <is>
          <t xml:space="preserve">   Comissionar Equipamentos</t>
        </is>
      </c>
      <c r="C64" s="8" t="inlineStr">
        <is>
          <t>Centro</t>
        </is>
      </c>
      <c r="D64" s="8" t="n">
        <v>90811</v>
      </c>
      <c r="E64" s="10" t="n">
        <v>15</v>
      </c>
      <c r="F64" s="9">
        <f>G64-E64</f>
        <v>46553</v>
      </c>
      <c r="G64" s="9">
        <f>F65</f>
        <v>46568</v>
      </c>
      <c r="H64" s="8" t="inlineStr">
        <is>
          <t>DMSL / DEOP</t>
        </is>
      </c>
      <c r="I64" s="9" t="n"/>
      <c r="J64" s="8" t="n"/>
      <c r="K64" s="8" t="inlineStr">
        <is>
          <t>A iniciar</t>
        </is>
      </c>
    </row>
    <row r="65">
      <c r="A65" s="7" t="inlineStr">
        <is>
          <t>4.1.8</t>
        </is>
      </c>
      <c r="B65" s="36" t="inlineStr">
        <is>
          <t xml:space="preserve">   Equipamentos em Operação</t>
        </is>
      </c>
      <c r="C65" s="8" t="inlineStr">
        <is>
          <t>Centro</t>
        </is>
      </c>
      <c r="D65" s="8" t="n">
        <v>90811</v>
      </c>
      <c r="E65" s="10" t="n">
        <v>0</v>
      </c>
      <c r="F65" s="11" t="n">
        <v>46568</v>
      </c>
      <c r="G65" s="9">
        <f>F65</f>
        <v>46568</v>
      </c>
      <c r="H65" s="8" t="inlineStr">
        <is>
          <t>DCMD</t>
        </is>
      </c>
      <c r="I65" s="15" t="n">
        <v>46478</v>
      </c>
      <c r="J65" s="41">
        <f>EOMONTH(I65,0)-F65</f>
        <v>-61</v>
      </c>
      <c r="K65" s="8" t="inlineStr">
        <is>
          <t>A iniciar</t>
        </is>
      </c>
    </row>
    <row r="66">
      <c r="A66" s="7" t="inlineStr">
        <is>
          <t>4.1.9</t>
        </is>
      </c>
      <c r="B66" s="35" t="inlineStr">
        <is>
          <t xml:space="preserve">   Encerramento Técnico</t>
        </is>
      </c>
      <c r="C66" s="8" t="inlineStr">
        <is>
          <t>Centro</t>
        </is>
      </c>
      <c r="D66" s="8" t="n">
        <v>90811</v>
      </c>
      <c r="E66" s="10" t="n">
        <v>7</v>
      </c>
      <c r="F66" s="9">
        <f>G65+1</f>
        <v>46569</v>
      </c>
      <c r="G66" s="9">
        <f>F66+E66</f>
        <v>46576</v>
      </c>
      <c r="H66" s="8" t="inlineStr">
        <is>
          <t>DCMD</t>
        </is>
      </c>
      <c r="I66" s="9" t="n"/>
      <c r="J66" s="8" t="n"/>
      <c r="K66" s="8" t="inlineStr">
        <is>
          <t>A iniciar</t>
        </is>
      </c>
    </row>
    <row r="67">
      <c r="A67" s="7" t="inlineStr">
        <is>
          <t>4.1.10</t>
        </is>
      </c>
      <c r="B67" s="35" t="inlineStr">
        <is>
          <t xml:space="preserve">   Encerramento Contábil</t>
        </is>
      </c>
      <c r="C67" s="8" t="inlineStr">
        <is>
          <t>Centro</t>
        </is>
      </c>
      <c r="D67" s="8" t="n">
        <v>90811</v>
      </c>
      <c r="E67" s="10" t="n">
        <v>3</v>
      </c>
      <c r="F67" s="9">
        <f>G66+1</f>
        <v>46577</v>
      </c>
      <c r="G67" s="9">
        <f>F67+E67</f>
        <v>46580</v>
      </c>
      <c r="H67" s="8" t="inlineStr">
        <is>
          <t>DCMD / Contábil</t>
        </is>
      </c>
      <c r="I67" s="9" t="n"/>
      <c r="J67" s="8" t="n"/>
      <c r="K67" s="8" t="inlineStr">
        <is>
          <t>A iniciar</t>
        </is>
      </c>
    </row>
    <row r="68">
      <c r="A68" s="4" t="inlineStr">
        <is>
          <t>4.2</t>
        </is>
      </c>
      <c r="B68" s="40" t="inlineStr">
        <is>
          <t>BLOCO 4 - LD UHE Isamu - Ponte Alta - Instalação de 4 RL 34,5 kV (Parte I) (90811)</t>
        </is>
      </c>
      <c r="C68" s="5" t="inlineStr">
        <is>
          <t>Centro</t>
        </is>
      </c>
      <c r="D68" s="5" t="n">
        <v>90811</v>
      </c>
      <c r="E68" s="5">
        <f>G68-F68</f>
        <v>97</v>
      </c>
      <c r="F68" s="6">
        <f>MIN(F69:F78)</f>
        <v>46483</v>
      </c>
      <c r="G68" s="6">
        <f>MAX(G69:G78)</f>
        <v>46580</v>
      </c>
      <c r="H68" s="5" t="inlineStr">
        <is>
          <t>GP</t>
        </is>
      </c>
      <c r="I68" s="6" t="n"/>
      <c r="J68" s="5" t="n"/>
      <c r="K68" s="5" t="inlineStr">
        <is>
          <t>A iniciar</t>
        </is>
      </c>
    </row>
    <row r="69">
      <c r="A69" s="7" t="inlineStr">
        <is>
          <t>4.2.1</t>
        </is>
      </c>
      <c r="B69" s="35" t="inlineStr">
        <is>
          <t xml:space="preserve">   Executar Obras</t>
        </is>
      </c>
      <c r="C69" s="8" t="inlineStr">
        <is>
          <t>Centro</t>
        </is>
      </c>
      <c r="D69" s="8" t="n">
        <v>90811</v>
      </c>
      <c r="E69" s="10" t="n">
        <v>45</v>
      </c>
      <c r="F69" s="9">
        <f>G69-E69</f>
        <v>46483</v>
      </c>
      <c r="G69" s="9">
        <f>F71-1</f>
        <v>46528</v>
      </c>
      <c r="H69" s="8" t="inlineStr">
        <is>
          <t>EPS / Supervisor</t>
        </is>
      </c>
      <c r="I69" s="9" t="n"/>
      <c r="J69" s="8" t="n"/>
      <c r="K69" s="8" t="inlineStr">
        <is>
          <t>A iniciar</t>
        </is>
      </c>
    </row>
    <row r="70">
      <c r="A70" s="7" t="inlineStr">
        <is>
          <t>4.2.2</t>
        </is>
      </c>
      <c r="B70" s="38" t="inlineStr">
        <is>
          <t xml:space="preserve">   Obras Concluídas</t>
        </is>
      </c>
      <c r="C70" s="8" t="inlineStr">
        <is>
          <t>Centro</t>
        </is>
      </c>
      <c r="D70" s="8" t="n">
        <v>90811</v>
      </c>
      <c r="E70" s="10" t="n">
        <v>0</v>
      </c>
      <c r="F70" s="9">
        <f>G69</f>
        <v>46528</v>
      </c>
      <c r="G70" s="9">
        <f>G69</f>
        <v>46528</v>
      </c>
      <c r="H70" s="8" t="inlineStr">
        <is>
          <t>EPS</t>
        </is>
      </c>
      <c r="I70" s="9" t="n"/>
      <c r="J70" s="8" t="n"/>
      <c r="K70" s="8" t="inlineStr">
        <is>
          <t>A iniciar</t>
        </is>
      </c>
    </row>
    <row r="71">
      <c r="A71" s="7" t="inlineStr">
        <is>
          <t>4.2.3</t>
        </is>
      </c>
      <c r="B71" s="35" t="inlineStr">
        <is>
          <t xml:space="preserve">   Fiscalização</t>
        </is>
      </c>
      <c r="C71" s="8" t="inlineStr">
        <is>
          <t>Centro</t>
        </is>
      </c>
      <c r="D71" s="8" t="n">
        <v>90811</v>
      </c>
      <c r="E71" s="10" t="n">
        <v>12</v>
      </c>
      <c r="F71" s="9">
        <f>G71-E71</f>
        <v>46529</v>
      </c>
      <c r="G71" s="9">
        <f>F72-1</f>
        <v>46541</v>
      </c>
      <c r="H71" s="8" t="inlineStr">
        <is>
          <t>Fiscalização DCMD</t>
        </is>
      </c>
      <c r="I71" s="9" t="n"/>
      <c r="J71" s="8" t="n"/>
      <c r="K71" s="8" t="inlineStr">
        <is>
          <t>A iniciar</t>
        </is>
      </c>
    </row>
    <row r="72" ht="24.75" customHeight="1">
      <c r="A72" s="7" t="inlineStr">
        <is>
          <t>4.2.4</t>
        </is>
      </c>
      <c r="B72" s="35" t="inlineStr">
        <is>
          <t xml:space="preserve">   Cadastro EO / Integração parcial</t>
        </is>
      </c>
      <c r="C72" s="8" t="inlineStr">
        <is>
          <t>Centro</t>
        </is>
      </c>
      <c r="D72" s="8" t="n">
        <v>90811</v>
      </c>
      <c r="E72" s="10" t="n">
        <v>10</v>
      </c>
      <c r="F72" s="9">
        <f>G72-E72</f>
        <v>46542</v>
      </c>
      <c r="G72" s="9">
        <f>F75-1</f>
        <v>46552</v>
      </c>
      <c r="H72" s="8" t="inlineStr">
        <is>
          <t>Cadastro EO/TS</t>
        </is>
      </c>
      <c r="I72" s="9" t="n"/>
      <c r="J72" s="8" t="n"/>
      <c r="K72" s="8" t="inlineStr">
        <is>
          <t>A iniciar</t>
        </is>
      </c>
    </row>
    <row r="73">
      <c r="A73" s="7" t="inlineStr">
        <is>
          <t>4.2.5</t>
        </is>
      </c>
      <c r="B73" s="35" t="inlineStr">
        <is>
          <t xml:space="preserve">   Entrega do TCI pela empreiteira / Integração final</t>
        </is>
      </c>
      <c r="C73" s="8" t="inlineStr">
        <is>
          <t>Centro</t>
        </is>
      </c>
      <c r="D73" s="8" t="n">
        <v>90811</v>
      </c>
      <c r="E73" s="10" t="n">
        <v>15</v>
      </c>
      <c r="F73" s="9">
        <f>F75</f>
        <v>46553</v>
      </c>
      <c r="G73" s="9">
        <f>F73+E73</f>
        <v>46568</v>
      </c>
      <c r="H73" s="8" t="inlineStr">
        <is>
          <t>EPS</t>
        </is>
      </c>
      <c r="I73" s="9" t="n"/>
      <c r="J73" s="8" t="n"/>
      <c r="K73" s="8" t="inlineStr">
        <is>
          <t>A iniciar</t>
        </is>
      </c>
    </row>
    <row r="74">
      <c r="A74" s="7" t="inlineStr">
        <is>
          <t>4.2.6</t>
        </is>
      </c>
      <c r="B74" s="35" t="inlineStr">
        <is>
          <t xml:space="preserve">   Abertura de chamado / Atendimento GAT</t>
        </is>
      </c>
      <c r="C74" s="8" t="inlineStr">
        <is>
          <t>Centro</t>
        </is>
      </c>
      <c r="D74" s="8" t="n">
        <v>90811</v>
      </c>
      <c r="E74" s="10" t="n">
        <v>8</v>
      </c>
      <c r="F74" s="9">
        <f>F75</f>
        <v>46553</v>
      </c>
      <c r="G74" s="9">
        <f>F74+E74</f>
        <v>46561</v>
      </c>
      <c r="H74" s="8" t="inlineStr">
        <is>
          <t>GAT</t>
        </is>
      </c>
      <c r="I74" s="9" t="n"/>
      <c r="J74" s="8" t="n"/>
      <c r="K74" s="8" t="inlineStr">
        <is>
          <t>A iniciar</t>
        </is>
      </c>
    </row>
    <row r="75">
      <c r="A75" s="7" t="inlineStr">
        <is>
          <t>4.2.7</t>
        </is>
      </c>
      <c r="B75" s="35" t="inlineStr">
        <is>
          <t xml:space="preserve">   Comissionar Equipamentos</t>
        </is>
      </c>
      <c r="C75" s="8" t="inlineStr">
        <is>
          <t>Centro</t>
        </is>
      </c>
      <c r="D75" s="8" t="n">
        <v>90811</v>
      </c>
      <c r="E75" s="10" t="n">
        <v>15</v>
      </c>
      <c r="F75" s="9">
        <f>G75-E75</f>
        <v>46553</v>
      </c>
      <c r="G75" s="9">
        <f>F76</f>
        <v>46568</v>
      </c>
      <c r="H75" s="8" t="inlineStr">
        <is>
          <t>DMSL / DEOP</t>
        </is>
      </c>
      <c r="I75" s="9" t="n"/>
      <c r="J75" s="8" t="n"/>
      <c r="K75" s="8" t="inlineStr">
        <is>
          <t>A iniciar</t>
        </is>
      </c>
    </row>
    <row r="76">
      <c r="A76" s="7" t="inlineStr">
        <is>
          <t>4.2.8</t>
        </is>
      </c>
      <c r="B76" s="36" t="inlineStr">
        <is>
          <t xml:space="preserve">   Equipamentos em Operação</t>
        </is>
      </c>
      <c r="C76" s="8" t="inlineStr">
        <is>
          <t>Centro</t>
        </is>
      </c>
      <c r="D76" s="8" t="n">
        <v>90811</v>
      </c>
      <c r="E76" s="10" t="n">
        <v>0</v>
      </c>
      <c r="F76" s="11" t="n">
        <v>46568</v>
      </c>
      <c r="G76" s="9">
        <f>F76</f>
        <v>46568</v>
      </c>
      <c r="H76" s="8" t="inlineStr">
        <is>
          <t>DCMD</t>
        </is>
      </c>
      <c r="I76" s="15" t="n">
        <v>46478</v>
      </c>
      <c r="J76" s="41">
        <f>EOMONTH(I76,0)-F76</f>
        <v>-61</v>
      </c>
      <c r="K76" s="8" t="inlineStr">
        <is>
          <t>A iniciar</t>
        </is>
      </c>
    </row>
    <row r="77">
      <c r="A77" s="7" t="inlineStr">
        <is>
          <t>4.2.9</t>
        </is>
      </c>
      <c r="B77" s="35" t="inlineStr">
        <is>
          <t xml:space="preserve">   Encerramento Técnico</t>
        </is>
      </c>
      <c r="C77" s="8" t="inlineStr">
        <is>
          <t>Centro</t>
        </is>
      </c>
      <c r="D77" s="8" t="n">
        <v>90811</v>
      </c>
      <c r="E77" s="10" t="n">
        <v>7</v>
      </c>
      <c r="F77" s="9">
        <f>G76+1</f>
        <v>46569</v>
      </c>
      <c r="G77" s="9">
        <f>F77+E77</f>
        <v>46576</v>
      </c>
      <c r="H77" s="8" t="inlineStr">
        <is>
          <t>DCMD</t>
        </is>
      </c>
      <c r="I77" s="9" t="n"/>
      <c r="J77" s="8" t="n"/>
      <c r="K77" s="8" t="inlineStr">
        <is>
          <t>A iniciar</t>
        </is>
      </c>
    </row>
    <row r="78">
      <c r="A78" s="7" t="inlineStr">
        <is>
          <t>4.2.10</t>
        </is>
      </c>
      <c r="B78" s="35" t="inlineStr">
        <is>
          <t xml:space="preserve">   Encerramento Contábil</t>
        </is>
      </c>
      <c r="C78" s="8" t="inlineStr">
        <is>
          <t>Centro</t>
        </is>
      </c>
      <c r="D78" s="8" t="n">
        <v>90811</v>
      </c>
      <c r="E78" s="10" t="n">
        <v>3</v>
      </c>
      <c r="F78" s="9">
        <f>G77+1</f>
        <v>46577</v>
      </c>
      <c r="G78" s="9">
        <f>F78+E78</f>
        <v>46580</v>
      </c>
      <c r="H78" s="8" t="inlineStr">
        <is>
          <t>DCMD / Contábil</t>
        </is>
      </c>
      <c r="I78" s="9" t="n"/>
      <c r="J78" s="8" t="n"/>
      <c r="K78" s="8" t="inlineStr">
        <is>
          <t>A iniciar</t>
        </is>
      </c>
    </row>
    <row r="79">
      <c r="A79" s="4" t="inlineStr">
        <is>
          <t>4.3</t>
        </is>
      </c>
      <c r="B79" s="40" t="inlineStr">
        <is>
          <t>BLOCO 5 - LD UHE Isamu - Ponte Alta - Instalação de 3 RT 34,5 kV (Parte II) (90811)</t>
        </is>
      </c>
      <c r="C79" s="5" t="inlineStr">
        <is>
          <t>Centro</t>
        </is>
      </c>
      <c r="D79" s="5" t="n">
        <v>90811</v>
      </c>
      <c r="E79" s="5">
        <f>G79-F79</f>
        <v>82</v>
      </c>
      <c r="F79" s="6">
        <f>MIN(F80:F89)</f>
        <v>46483</v>
      </c>
      <c r="G79" s="6">
        <f>MAX(G80:G89)</f>
        <v>46565</v>
      </c>
      <c r="H79" s="5" t="inlineStr">
        <is>
          <t>GP</t>
        </is>
      </c>
      <c r="I79" s="6" t="n"/>
      <c r="J79" s="5" t="n"/>
      <c r="K79" s="5" t="inlineStr">
        <is>
          <t>A iniciar</t>
        </is>
      </c>
    </row>
    <row r="80">
      <c r="A80" s="7" t="inlineStr">
        <is>
          <t>4.3.1</t>
        </is>
      </c>
      <c r="B80" s="35" t="inlineStr">
        <is>
          <t xml:space="preserve">   Executar Obras</t>
        </is>
      </c>
      <c r="C80" s="8" t="inlineStr">
        <is>
          <t>Centro</t>
        </is>
      </c>
      <c r="D80" s="8" t="n">
        <v>90811</v>
      </c>
      <c r="E80" s="10" t="n">
        <v>30</v>
      </c>
      <c r="F80" s="9">
        <f>G80-E80</f>
        <v>46483</v>
      </c>
      <c r="G80" s="9">
        <f>F82-1</f>
        <v>46513</v>
      </c>
      <c r="H80" s="8" t="inlineStr">
        <is>
          <t>EPS / Supervisor</t>
        </is>
      </c>
      <c r="I80" s="9" t="n"/>
      <c r="J80" s="8" t="n"/>
      <c r="K80" s="8" t="inlineStr">
        <is>
          <t>A iniciar</t>
        </is>
      </c>
    </row>
    <row r="81">
      <c r="A81" s="7" t="inlineStr">
        <is>
          <t>4.3.2</t>
        </is>
      </c>
      <c r="B81" s="38" t="inlineStr">
        <is>
          <t xml:space="preserve">   Obras Concluídas</t>
        </is>
      </c>
      <c r="C81" s="8" t="inlineStr">
        <is>
          <t>Centro</t>
        </is>
      </c>
      <c r="D81" s="8" t="n">
        <v>90811</v>
      </c>
      <c r="E81" s="10" t="n">
        <v>0</v>
      </c>
      <c r="F81" s="9">
        <f>G80</f>
        <v>46513</v>
      </c>
      <c r="G81" s="9">
        <f>G80</f>
        <v>46513</v>
      </c>
      <c r="H81" s="8" t="inlineStr">
        <is>
          <t>EPS</t>
        </is>
      </c>
      <c r="I81" s="9" t="n"/>
      <c r="J81" s="8" t="n"/>
      <c r="K81" s="8" t="inlineStr">
        <is>
          <t>A iniciar</t>
        </is>
      </c>
    </row>
    <row r="82">
      <c r="A82" s="7" t="inlineStr">
        <is>
          <t>4.3.3</t>
        </is>
      </c>
      <c r="B82" s="35" t="inlineStr">
        <is>
          <t xml:space="preserve">   Fiscalização</t>
        </is>
      </c>
      <c r="C82" s="8" t="inlineStr">
        <is>
          <t>Centro</t>
        </is>
      </c>
      <c r="D82" s="8" t="n">
        <v>90811</v>
      </c>
      <c r="E82" s="10" t="n">
        <v>12</v>
      </c>
      <c r="F82" s="9">
        <f>G82-E82</f>
        <v>46514</v>
      </c>
      <c r="G82" s="9">
        <f>F83-1</f>
        <v>46526</v>
      </c>
      <c r="H82" s="8" t="inlineStr">
        <is>
          <t>Fiscalização DCMD</t>
        </is>
      </c>
      <c r="I82" s="9" t="n"/>
      <c r="J82" s="8" t="n"/>
      <c r="K82" s="8" t="inlineStr">
        <is>
          <t>A iniciar</t>
        </is>
      </c>
    </row>
    <row r="83" ht="24.75" customHeight="1">
      <c r="A83" s="7" t="inlineStr">
        <is>
          <t>4.3.4</t>
        </is>
      </c>
      <c r="B83" s="35" t="inlineStr">
        <is>
          <t xml:space="preserve">   Cadastro EO / Integração parcial</t>
        </is>
      </c>
      <c r="C83" s="8" t="inlineStr">
        <is>
          <t>Centro</t>
        </is>
      </c>
      <c r="D83" s="8" t="n">
        <v>90811</v>
      </c>
      <c r="E83" s="10" t="n">
        <v>10</v>
      </c>
      <c r="F83" s="9">
        <f>G83-E83</f>
        <v>46527</v>
      </c>
      <c r="G83" s="9">
        <f>F86-1</f>
        <v>46537</v>
      </c>
      <c r="H83" s="8" t="inlineStr">
        <is>
          <t>Cadastro EO/TS</t>
        </is>
      </c>
      <c r="I83" s="9" t="n"/>
      <c r="J83" s="8" t="n"/>
      <c r="K83" s="8" t="inlineStr">
        <is>
          <t>A iniciar</t>
        </is>
      </c>
    </row>
    <row r="84">
      <c r="A84" s="7" t="inlineStr">
        <is>
          <t>4.3.5</t>
        </is>
      </c>
      <c r="B84" s="35" t="inlineStr">
        <is>
          <t xml:space="preserve">   Entrega do TCI pela empreiteira / Integração final</t>
        </is>
      </c>
      <c r="C84" s="8" t="inlineStr">
        <is>
          <t>Centro</t>
        </is>
      </c>
      <c r="D84" s="8" t="n">
        <v>90811</v>
      </c>
      <c r="E84" s="10" t="n">
        <v>15</v>
      </c>
      <c r="F84" s="9">
        <f>F86</f>
        <v>46538</v>
      </c>
      <c r="G84" s="9">
        <f>F84+E84</f>
        <v>46553</v>
      </c>
      <c r="H84" s="8" t="inlineStr">
        <is>
          <t>EPS</t>
        </is>
      </c>
      <c r="I84" s="9" t="n"/>
      <c r="J84" s="8" t="n"/>
      <c r="K84" s="8" t="inlineStr">
        <is>
          <t>A iniciar</t>
        </is>
      </c>
    </row>
    <row r="85">
      <c r="A85" s="7" t="inlineStr">
        <is>
          <t>4.3.6</t>
        </is>
      </c>
      <c r="B85" s="35" t="inlineStr">
        <is>
          <t xml:space="preserve">   Abertura de chamado / Atendimento GAT</t>
        </is>
      </c>
      <c r="C85" s="8" t="inlineStr">
        <is>
          <t>Centro</t>
        </is>
      </c>
      <c r="D85" s="8" t="n">
        <v>90811</v>
      </c>
      <c r="E85" s="10" t="n">
        <v>8</v>
      </c>
      <c r="F85" s="9">
        <f>F86</f>
        <v>46538</v>
      </c>
      <c r="G85" s="9">
        <f>F85+E85</f>
        <v>46546</v>
      </c>
      <c r="H85" s="8" t="inlineStr">
        <is>
          <t>GAT</t>
        </is>
      </c>
      <c r="I85" s="9" t="n"/>
      <c r="J85" s="8" t="n"/>
      <c r="K85" s="8" t="inlineStr">
        <is>
          <t>A iniciar</t>
        </is>
      </c>
    </row>
    <row r="86">
      <c r="A86" s="7" t="inlineStr">
        <is>
          <t>4.3.7</t>
        </is>
      </c>
      <c r="B86" s="35" t="inlineStr">
        <is>
          <t xml:space="preserve">   Comissionar Equipamentos</t>
        </is>
      </c>
      <c r="C86" s="8" t="inlineStr">
        <is>
          <t>Centro</t>
        </is>
      </c>
      <c r="D86" s="8" t="n">
        <v>90811</v>
      </c>
      <c r="E86" s="10" t="n">
        <v>15</v>
      </c>
      <c r="F86" s="9">
        <f>G86-E86</f>
        <v>46538</v>
      </c>
      <c r="G86" s="9">
        <f>F87</f>
        <v>46553</v>
      </c>
      <c r="H86" s="8" t="inlineStr">
        <is>
          <t>DMSL / DEOP</t>
        </is>
      </c>
      <c r="I86" s="9" t="n"/>
      <c r="J86" s="8" t="n"/>
      <c r="K86" s="8" t="inlineStr">
        <is>
          <t>A iniciar</t>
        </is>
      </c>
    </row>
    <row r="87">
      <c r="A87" s="7" t="inlineStr">
        <is>
          <t>4.3.8</t>
        </is>
      </c>
      <c r="B87" s="36" t="inlineStr">
        <is>
          <t xml:space="preserve">   Equipamentos em Operação</t>
        </is>
      </c>
      <c r="C87" s="8" t="inlineStr">
        <is>
          <t>Centro</t>
        </is>
      </c>
      <c r="D87" s="8" t="n">
        <v>90811</v>
      </c>
      <c r="E87" s="10" t="n">
        <v>0</v>
      </c>
      <c r="F87" s="11" t="n">
        <v>46553</v>
      </c>
      <c r="G87" s="9">
        <f>F87</f>
        <v>46553</v>
      </c>
      <c r="H87" s="8" t="inlineStr">
        <is>
          <t>DCMD</t>
        </is>
      </c>
      <c r="I87" s="15" t="n">
        <v>46478</v>
      </c>
      <c r="J87" s="41">
        <f>EOMONTH(I87,0)-F87</f>
        <v>-46</v>
      </c>
      <c r="K87" s="8" t="inlineStr">
        <is>
          <t>A iniciar</t>
        </is>
      </c>
    </row>
    <row r="88">
      <c r="A88" s="7" t="inlineStr">
        <is>
          <t>4.3.9</t>
        </is>
      </c>
      <c r="B88" s="35" t="inlineStr">
        <is>
          <t xml:space="preserve">   Encerramento Técnico</t>
        </is>
      </c>
      <c r="C88" s="8" t="inlineStr">
        <is>
          <t>Centro</t>
        </is>
      </c>
      <c r="D88" s="8" t="n">
        <v>90811</v>
      </c>
      <c r="E88" s="10" t="n">
        <v>7</v>
      </c>
      <c r="F88" s="9">
        <f>G87+1</f>
        <v>46554</v>
      </c>
      <c r="G88" s="9">
        <f>F88+E88</f>
        <v>46561</v>
      </c>
      <c r="H88" s="8" t="inlineStr">
        <is>
          <t>DCMD</t>
        </is>
      </c>
      <c r="I88" s="9" t="n"/>
      <c r="J88" s="8" t="n"/>
      <c r="K88" s="8" t="inlineStr">
        <is>
          <t>A iniciar</t>
        </is>
      </c>
    </row>
    <row r="89">
      <c r="A89" s="7" t="inlineStr">
        <is>
          <t>4.3.10</t>
        </is>
      </c>
      <c r="B89" s="35" t="inlineStr">
        <is>
          <t xml:space="preserve">   Encerramento Contábil</t>
        </is>
      </c>
      <c r="C89" s="8" t="inlineStr">
        <is>
          <t>Centro</t>
        </is>
      </c>
      <c r="D89" s="8" t="n">
        <v>90811</v>
      </c>
      <c r="E89" s="10" t="n">
        <v>3</v>
      </c>
      <c r="F89" s="9">
        <f>G88+1</f>
        <v>46562</v>
      </c>
      <c r="G89" s="9">
        <f>F89+E89</f>
        <v>46565</v>
      </c>
      <c r="H89" s="8" t="inlineStr">
        <is>
          <t>DCMD / Contábil</t>
        </is>
      </c>
      <c r="I89" s="9" t="n"/>
      <c r="J89" s="8" t="n"/>
      <c r="K89" s="8" t="inlineStr">
        <is>
          <t>A iniciar</t>
        </is>
      </c>
    </row>
    <row r="90">
      <c r="A90" s="4" t="inlineStr">
        <is>
          <t>4.4</t>
        </is>
      </c>
      <c r="B90" s="40" t="inlineStr">
        <is>
          <t>BLOCO 6 - LD Palmas - Lajeado - Instalação de 1 RL 34,5 kV (92095)</t>
        </is>
      </c>
      <c r="C90" s="5" t="inlineStr">
        <is>
          <t>Centro</t>
        </is>
      </c>
      <c r="D90" s="5" t="n">
        <v>92095</v>
      </c>
      <c r="E90" s="5">
        <f>G90-F90</f>
        <v>82</v>
      </c>
      <c r="F90" s="6">
        <f>MIN(F91:F100)</f>
        <v>46483</v>
      </c>
      <c r="G90" s="6">
        <f>MAX(G91:G100)</f>
        <v>46565</v>
      </c>
      <c r="H90" s="5" t="inlineStr">
        <is>
          <t>GP</t>
        </is>
      </c>
      <c r="I90" s="6" t="n"/>
      <c r="J90" s="5" t="n"/>
      <c r="K90" s="5" t="inlineStr">
        <is>
          <t>A iniciar</t>
        </is>
      </c>
    </row>
    <row r="91">
      <c r="A91" s="7" t="inlineStr">
        <is>
          <t>4.4.1</t>
        </is>
      </c>
      <c r="B91" s="35" t="inlineStr">
        <is>
          <t xml:space="preserve">   Executar Obras</t>
        </is>
      </c>
      <c r="C91" s="8" t="inlineStr">
        <is>
          <t>Centro</t>
        </is>
      </c>
      <c r="D91" s="8" t="n">
        <v>92095</v>
      </c>
      <c r="E91" s="10" t="n">
        <v>30</v>
      </c>
      <c r="F91" s="9">
        <f>G91-E91</f>
        <v>46483</v>
      </c>
      <c r="G91" s="9">
        <f>F93-1</f>
        <v>46513</v>
      </c>
      <c r="H91" s="8" t="inlineStr">
        <is>
          <t>EPS / Supervisor</t>
        </is>
      </c>
      <c r="I91" s="9" t="n"/>
      <c r="J91" s="8" t="n"/>
      <c r="K91" s="8" t="inlineStr">
        <is>
          <t>A iniciar</t>
        </is>
      </c>
    </row>
    <row r="92">
      <c r="A92" s="7" t="inlineStr">
        <is>
          <t>4.4.2</t>
        </is>
      </c>
      <c r="B92" s="38" t="inlineStr">
        <is>
          <t xml:space="preserve">   Obras Concluídas</t>
        </is>
      </c>
      <c r="C92" s="8" t="inlineStr">
        <is>
          <t>Centro</t>
        </is>
      </c>
      <c r="D92" s="8" t="n">
        <v>92095</v>
      </c>
      <c r="E92" s="10" t="n">
        <v>0</v>
      </c>
      <c r="F92" s="9">
        <f>G91</f>
        <v>46513</v>
      </c>
      <c r="G92" s="9">
        <f>G91</f>
        <v>46513</v>
      </c>
      <c r="H92" s="8" t="inlineStr">
        <is>
          <t>EPS</t>
        </is>
      </c>
      <c r="I92" s="9" t="n"/>
      <c r="J92" s="8" t="n"/>
      <c r="K92" s="8" t="inlineStr">
        <is>
          <t>A iniciar</t>
        </is>
      </c>
    </row>
    <row r="93">
      <c r="A93" s="7" t="inlineStr">
        <is>
          <t>4.4.3</t>
        </is>
      </c>
      <c r="B93" s="35" t="inlineStr">
        <is>
          <t xml:space="preserve">   Fiscalização</t>
        </is>
      </c>
      <c r="C93" s="8" t="inlineStr">
        <is>
          <t>Centro</t>
        </is>
      </c>
      <c r="D93" s="8" t="n">
        <v>92095</v>
      </c>
      <c r="E93" s="10" t="n">
        <v>12</v>
      </c>
      <c r="F93" s="9">
        <f>G93-E93</f>
        <v>46514</v>
      </c>
      <c r="G93" s="9">
        <f>F94-1</f>
        <v>46526</v>
      </c>
      <c r="H93" s="8" t="inlineStr">
        <is>
          <t>Fiscalização DCMD</t>
        </is>
      </c>
      <c r="I93" s="9" t="n"/>
      <c r="J93" s="8" t="n"/>
      <c r="K93" s="8" t="inlineStr">
        <is>
          <t>A iniciar</t>
        </is>
      </c>
    </row>
    <row r="94" ht="24.75" customHeight="1">
      <c r="A94" s="7" t="inlineStr">
        <is>
          <t>4.4.4</t>
        </is>
      </c>
      <c r="B94" s="35" t="inlineStr">
        <is>
          <t xml:space="preserve">   Cadastro EO / Integração parcial</t>
        </is>
      </c>
      <c r="C94" s="8" t="inlineStr">
        <is>
          <t>Centro</t>
        </is>
      </c>
      <c r="D94" s="8" t="n">
        <v>92095</v>
      </c>
      <c r="E94" s="10" t="n">
        <v>10</v>
      </c>
      <c r="F94" s="9">
        <f>G94-E94</f>
        <v>46527</v>
      </c>
      <c r="G94" s="9">
        <f>F97-1</f>
        <v>46537</v>
      </c>
      <c r="H94" s="8" t="inlineStr">
        <is>
          <t>Cadastro EO/TS</t>
        </is>
      </c>
      <c r="I94" s="9" t="n"/>
      <c r="J94" s="8" t="n"/>
      <c r="K94" s="8" t="inlineStr">
        <is>
          <t>A iniciar</t>
        </is>
      </c>
    </row>
    <row r="95">
      <c r="A95" s="7" t="inlineStr">
        <is>
          <t>4.4.5</t>
        </is>
      </c>
      <c r="B95" s="35" t="inlineStr">
        <is>
          <t xml:space="preserve">   Entrega do TCI pela empreiteira / Integração final</t>
        </is>
      </c>
      <c r="C95" s="8" t="inlineStr">
        <is>
          <t>Centro</t>
        </is>
      </c>
      <c r="D95" s="8" t="n">
        <v>92095</v>
      </c>
      <c r="E95" s="10" t="n">
        <v>15</v>
      </c>
      <c r="F95" s="9">
        <f>F97</f>
        <v>46538</v>
      </c>
      <c r="G95" s="9">
        <f>F95+E95</f>
        <v>46553</v>
      </c>
      <c r="H95" s="8" t="inlineStr">
        <is>
          <t>EPS</t>
        </is>
      </c>
      <c r="I95" s="9" t="n"/>
      <c r="J95" s="8" t="n"/>
      <c r="K95" s="8" t="inlineStr">
        <is>
          <t>A iniciar</t>
        </is>
      </c>
    </row>
    <row r="96">
      <c r="A96" s="7" t="inlineStr">
        <is>
          <t>4.4.6</t>
        </is>
      </c>
      <c r="B96" s="35" t="inlineStr">
        <is>
          <t xml:space="preserve">   Abertura de chamado / Atendimento GAT</t>
        </is>
      </c>
      <c r="C96" s="8" t="inlineStr">
        <is>
          <t>Centro</t>
        </is>
      </c>
      <c r="D96" s="8" t="n">
        <v>92095</v>
      </c>
      <c r="E96" s="10" t="n">
        <v>8</v>
      </c>
      <c r="F96" s="9">
        <f>F97</f>
        <v>46538</v>
      </c>
      <c r="G96" s="9">
        <f>F96+E96</f>
        <v>46546</v>
      </c>
      <c r="H96" s="8" t="inlineStr">
        <is>
          <t>GAT</t>
        </is>
      </c>
      <c r="I96" s="9" t="n"/>
      <c r="J96" s="8" t="n"/>
      <c r="K96" s="8" t="inlineStr">
        <is>
          <t>A iniciar</t>
        </is>
      </c>
    </row>
    <row r="97">
      <c r="A97" s="7" t="inlineStr">
        <is>
          <t>4.4.7</t>
        </is>
      </c>
      <c r="B97" s="35" t="inlineStr">
        <is>
          <t xml:space="preserve">   Comissionar Equipamentos</t>
        </is>
      </c>
      <c r="C97" s="8" t="inlineStr">
        <is>
          <t>Centro</t>
        </is>
      </c>
      <c r="D97" s="8" t="n">
        <v>92095</v>
      </c>
      <c r="E97" s="10" t="n">
        <v>15</v>
      </c>
      <c r="F97" s="9">
        <f>G97-E97</f>
        <v>46538</v>
      </c>
      <c r="G97" s="9">
        <f>F98</f>
        <v>46553</v>
      </c>
      <c r="H97" s="8" t="inlineStr">
        <is>
          <t>DMSL / DEOP</t>
        </is>
      </c>
      <c r="I97" s="9" t="n"/>
      <c r="J97" s="8" t="n"/>
      <c r="K97" s="8" t="inlineStr">
        <is>
          <t>A iniciar</t>
        </is>
      </c>
    </row>
    <row r="98">
      <c r="A98" s="7" t="inlineStr">
        <is>
          <t>4.4.8</t>
        </is>
      </c>
      <c r="B98" s="36" t="inlineStr">
        <is>
          <t xml:space="preserve">   Equipamentos em Operação</t>
        </is>
      </c>
      <c r="C98" s="8" t="inlineStr">
        <is>
          <t>Centro</t>
        </is>
      </c>
      <c r="D98" s="8" t="n">
        <v>92095</v>
      </c>
      <c r="E98" s="10" t="n">
        <v>0</v>
      </c>
      <c r="F98" s="11" t="n">
        <v>46553</v>
      </c>
      <c r="G98" s="9">
        <f>F98</f>
        <v>46553</v>
      </c>
      <c r="H98" s="8" t="inlineStr">
        <is>
          <t>DCMD</t>
        </is>
      </c>
      <c r="I98" s="15" t="n">
        <v>46539</v>
      </c>
      <c r="J98" s="41">
        <f>EOMONTH(I98,0)-F98</f>
        <v>15</v>
      </c>
      <c r="K98" s="8" t="inlineStr">
        <is>
          <t>A iniciar</t>
        </is>
      </c>
    </row>
    <row r="99">
      <c r="A99" s="7" t="inlineStr">
        <is>
          <t>4.4.9</t>
        </is>
      </c>
      <c r="B99" s="35" t="inlineStr">
        <is>
          <t xml:space="preserve">   Encerramento Técnico</t>
        </is>
      </c>
      <c r="C99" s="8" t="inlineStr">
        <is>
          <t>Centro</t>
        </is>
      </c>
      <c r="D99" s="8" t="n">
        <v>92095</v>
      </c>
      <c r="E99" s="10" t="n">
        <v>7</v>
      </c>
      <c r="F99" s="9">
        <f>G98+1</f>
        <v>46554</v>
      </c>
      <c r="G99" s="9">
        <f>F99+E99</f>
        <v>46561</v>
      </c>
      <c r="H99" s="8" t="inlineStr">
        <is>
          <t>DCMD</t>
        </is>
      </c>
      <c r="I99" s="9" t="n"/>
      <c r="J99" s="8" t="n"/>
      <c r="K99" s="8" t="inlineStr">
        <is>
          <t>A iniciar</t>
        </is>
      </c>
    </row>
    <row r="100">
      <c r="A100" s="7" t="inlineStr">
        <is>
          <t>4.4.10</t>
        </is>
      </c>
      <c r="B100" s="35" t="inlineStr">
        <is>
          <t xml:space="preserve">   Encerramento Contábil</t>
        </is>
      </c>
      <c r="C100" s="8" t="inlineStr">
        <is>
          <t>Centro</t>
        </is>
      </c>
      <c r="D100" s="8" t="n">
        <v>92095</v>
      </c>
      <c r="E100" s="10" t="n">
        <v>3</v>
      </c>
      <c r="F100" s="9">
        <f>G99+1</f>
        <v>46562</v>
      </c>
      <c r="G100" s="9">
        <f>F100+E100</f>
        <v>46565</v>
      </c>
      <c r="H100" s="8" t="inlineStr">
        <is>
          <t>DCMD / Contábil</t>
        </is>
      </c>
      <c r="I100" s="9" t="n"/>
      <c r="J100" s="8" t="n"/>
      <c r="K100" s="8" t="inlineStr">
        <is>
          <t>A iniciar</t>
        </is>
      </c>
    </row>
    <row r="101">
      <c r="A101" s="4" t="inlineStr">
        <is>
          <t>4.5</t>
        </is>
      </c>
      <c r="B101" s="40" t="inlineStr">
        <is>
          <t>BLOCO 7 - 8 de Palmas IV - Instalação de 1 RL 13,8 kV N.A (92101)</t>
        </is>
      </c>
      <c r="C101" s="5" t="inlineStr">
        <is>
          <t>Centro</t>
        </is>
      </c>
      <c r="D101" s="5" t="n">
        <v>92101</v>
      </c>
      <c r="E101" s="5">
        <f>G101-F101</f>
        <v>82</v>
      </c>
      <c r="F101" s="6">
        <f>MIN(F102:F111)</f>
        <v>46483</v>
      </c>
      <c r="G101" s="6">
        <f>MAX(G102:G111)</f>
        <v>46565</v>
      </c>
      <c r="H101" s="5" t="inlineStr">
        <is>
          <t>GP</t>
        </is>
      </c>
      <c r="I101" s="6" t="n"/>
      <c r="J101" s="5" t="n"/>
      <c r="K101" s="5" t="inlineStr">
        <is>
          <t>A iniciar</t>
        </is>
      </c>
    </row>
    <row r="102">
      <c r="A102" s="7" t="inlineStr">
        <is>
          <t>4.5.1</t>
        </is>
      </c>
      <c r="B102" s="35" t="inlineStr">
        <is>
          <t xml:space="preserve">   Executar Obras</t>
        </is>
      </c>
      <c r="C102" s="8" t="inlineStr">
        <is>
          <t>Centro</t>
        </is>
      </c>
      <c r="D102" s="8" t="n">
        <v>92101</v>
      </c>
      <c r="E102" s="10" t="n">
        <v>30</v>
      </c>
      <c r="F102" s="9">
        <f>G102-E102</f>
        <v>46483</v>
      </c>
      <c r="G102" s="9">
        <f>F104-1</f>
        <v>46513</v>
      </c>
      <c r="H102" s="8" t="inlineStr">
        <is>
          <t>EPS / Supervisor</t>
        </is>
      </c>
      <c r="I102" s="9" t="n"/>
      <c r="J102" s="8" t="n"/>
      <c r="K102" s="8" t="inlineStr">
        <is>
          <t>A iniciar</t>
        </is>
      </c>
    </row>
    <row r="103">
      <c r="A103" s="7" t="inlineStr">
        <is>
          <t>4.5.2</t>
        </is>
      </c>
      <c r="B103" s="38" t="inlineStr">
        <is>
          <t xml:space="preserve">   Obras Concluídas</t>
        </is>
      </c>
      <c r="C103" s="8" t="inlineStr">
        <is>
          <t>Centro</t>
        </is>
      </c>
      <c r="D103" s="8" t="n">
        <v>92101</v>
      </c>
      <c r="E103" s="10" t="n">
        <v>0</v>
      </c>
      <c r="F103" s="9">
        <f>G102</f>
        <v>46513</v>
      </c>
      <c r="G103" s="9">
        <f>G102</f>
        <v>46513</v>
      </c>
      <c r="H103" s="8" t="inlineStr">
        <is>
          <t>EPS</t>
        </is>
      </c>
      <c r="I103" s="9" t="n"/>
      <c r="J103" s="8" t="n"/>
      <c r="K103" s="8" t="inlineStr">
        <is>
          <t>A iniciar</t>
        </is>
      </c>
    </row>
    <row r="104">
      <c r="A104" s="7" t="inlineStr">
        <is>
          <t>4.5.3</t>
        </is>
      </c>
      <c r="B104" s="35" t="inlineStr">
        <is>
          <t xml:space="preserve">   Fiscalização</t>
        </is>
      </c>
      <c r="C104" s="8" t="inlineStr">
        <is>
          <t>Centro</t>
        </is>
      </c>
      <c r="D104" s="8" t="n">
        <v>92101</v>
      </c>
      <c r="E104" s="10" t="n">
        <v>12</v>
      </c>
      <c r="F104" s="9">
        <f>G104-E104</f>
        <v>46514</v>
      </c>
      <c r="G104" s="9">
        <f>F105-1</f>
        <v>46526</v>
      </c>
      <c r="H104" s="8" t="inlineStr">
        <is>
          <t>Fiscalização DCMD</t>
        </is>
      </c>
      <c r="I104" s="9" t="n"/>
      <c r="J104" s="8" t="n"/>
      <c r="K104" s="8" t="inlineStr">
        <is>
          <t>A iniciar</t>
        </is>
      </c>
    </row>
    <row r="105" ht="24.75" customHeight="1">
      <c r="A105" s="7" t="inlineStr">
        <is>
          <t>4.5.4</t>
        </is>
      </c>
      <c r="B105" s="35" t="inlineStr">
        <is>
          <t xml:space="preserve">   Cadastro EO / Integração parcial</t>
        </is>
      </c>
      <c r="C105" s="8" t="inlineStr">
        <is>
          <t>Centro</t>
        </is>
      </c>
      <c r="D105" s="8" t="n">
        <v>92101</v>
      </c>
      <c r="E105" s="10" t="n">
        <v>10</v>
      </c>
      <c r="F105" s="9">
        <f>G105-E105</f>
        <v>46527</v>
      </c>
      <c r="G105" s="9">
        <f>F108-1</f>
        <v>46537</v>
      </c>
      <c r="H105" s="8" t="inlineStr">
        <is>
          <t>Cadastro EO/TS</t>
        </is>
      </c>
      <c r="I105" s="9" t="n"/>
      <c r="J105" s="8" t="n"/>
      <c r="K105" s="8" t="inlineStr">
        <is>
          <t>A iniciar</t>
        </is>
      </c>
    </row>
    <row r="106">
      <c r="A106" s="7" t="inlineStr">
        <is>
          <t>4.5.5</t>
        </is>
      </c>
      <c r="B106" s="35" t="inlineStr">
        <is>
          <t xml:space="preserve">   Entrega do TCI pela empreiteira / Integração final</t>
        </is>
      </c>
      <c r="C106" s="8" t="inlineStr">
        <is>
          <t>Centro</t>
        </is>
      </c>
      <c r="D106" s="8" t="n">
        <v>92101</v>
      </c>
      <c r="E106" s="10" t="n">
        <v>15</v>
      </c>
      <c r="F106" s="9">
        <f>F108</f>
        <v>46538</v>
      </c>
      <c r="G106" s="9">
        <f>F106+E106</f>
        <v>46553</v>
      </c>
      <c r="H106" s="8" t="inlineStr">
        <is>
          <t>EPS</t>
        </is>
      </c>
      <c r="I106" s="9" t="n"/>
      <c r="J106" s="8" t="n"/>
      <c r="K106" s="8" t="inlineStr">
        <is>
          <t>A iniciar</t>
        </is>
      </c>
    </row>
    <row r="107">
      <c r="A107" s="7" t="inlineStr">
        <is>
          <t>4.5.6</t>
        </is>
      </c>
      <c r="B107" s="35" t="inlineStr">
        <is>
          <t xml:space="preserve">   Abertura de chamado / Atendimento GAT</t>
        </is>
      </c>
      <c r="C107" s="8" t="inlineStr">
        <is>
          <t>Centro</t>
        </is>
      </c>
      <c r="D107" s="8" t="n">
        <v>92101</v>
      </c>
      <c r="E107" s="10" t="n">
        <v>8</v>
      </c>
      <c r="F107" s="9">
        <f>F108</f>
        <v>46538</v>
      </c>
      <c r="G107" s="9">
        <f>F107+E107</f>
        <v>46546</v>
      </c>
      <c r="H107" s="8" t="inlineStr">
        <is>
          <t>GAT</t>
        </is>
      </c>
      <c r="I107" s="9" t="n"/>
      <c r="J107" s="8" t="n"/>
      <c r="K107" s="8" t="inlineStr">
        <is>
          <t>A iniciar</t>
        </is>
      </c>
    </row>
    <row r="108">
      <c r="A108" s="7" t="inlineStr">
        <is>
          <t>4.5.7</t>
        </is>
      </c>
      <c r="B108" s="35" t="inlineStr">
        <is>
          <t xml:space="preserve">   Comissionar Equipamentos</t>
        </is>
      </c>
      <c r="C108" s="8" t="inlineStr">
        <is>
          <t>Centro</t>
        </is>
      </c>
      <c r="D108" s="8" t="n">
        <v>92101</v>
      </c>
      <c r="E108" s="10" t="n">
        <v>15</v>
      </c>
      <c r="F108" s="9">
        <f>G108-E108</f>
        <v>46538</v>
      </c>
      <c r="G108" s="9">
        <f>F109</f>
        <v>46553</v>
      </c>
      <c r="H108" s="8" t="inlineStr">
        <is>
          <t>DMSL / DEOP</t>
        </is>
      </c>
      <c r="I108" s="9" t="n"/>
      <c r="J108" s="8" t="n"/>
      <c r="K108" s="8" t="inlineStr">
        <is>
          <t>A iniciar</t>
        </is>
      </c>
    </row>
    <row r="109">
      <c r="A109" s="7" t="inlineStr">
        <is>
          <t>4.5.8</t>
        </is>
      </c>
      <c r="B109" s="36" t="inlineStr">
        <is>
          <t xml:space="preserve">   Equipamentos em Operação</t>
        </is>
      </c>
      <c r="C109" s="8" t="inlineStr">
        <is>
          <t>Centro</t>
        </is>
      </c>
      <c r="D109" s="8" t="n">
        <v>92101</v>
      </c>
      <c r="E109" s="10" t="n">
        <v>0</v>
      </c>
      <c r="F109" s="11" t="n">
        <v>46553</v>
      </c>
      <c r="G109" s="9">
        <f>F109</f>
        <v>46553</v>
      </c>
      <c r="H109" s="8" t="inlineStr">
        <is>
          <t>DCMD</t>
        </is>
      </c>
      <c r="I109" s="15" t="n">
        <v>46539</v>
      </c>
      <c r="J109" s="41">
        <f>EOMONTH(I109,0)-F109</f>
        <v>15</v>
      </c>
      <c r="K109" s="8" t="inlineStr">
        <is>
          <t>A iniciar</t>
        </is>
      </c>
    </row>
    <row r="110">
      <c r="A110" s="7" t="inlineStr">
        <is>
          <t>4.5.9</t>
        </is>
      </c>
      <c r="B110" s="35" t="inlineStr">
        <is>
          <t xml:space="preserve">   Encerramento Técnico</t>
        </is>
      </c>
      <c r="C110" s="8" t="inlineStr">
        <is>
          <t>Centro</t>
        </is>
      </c>
      <c r="D110" s="8" t="n">
        <v>92101</v>
      </c>
      <c r="E110" s="10" t="n">
        <v>7</v>
      </c>
      <c r="F110" s="9">
        <f>G109+1</f>
        <v>46554</v>
      </c>
      <c r="G110" s="9">
        <f>F110+E110</f>
        <v>46561</v>
      </c>
      <c r="H110" s="8" t="inlineStr">
        <is>
          <t>DCMD</t>
        </is>
      </c>
      <c r="I110" s="9" t="n"/>
      <c r="J110" s="8" t="n"/>
      <c r="K110" s="8" t="inlineStr">
        <is>
          <t>A iniciar</t>
        </is>
      </c>
    </row>
    <row r="111">
      <c r="A111" s="7" t="inlineStr">
        <is>
          <t>4.5.10</t>
        </is>
      </c>
      <c r="B111" s="35" t="inlineStr">
        <is>
          <t xml:space="preserve">   Encerramento Contábil</t>
        </is>
      </c>
      <c r="C111" s="8" t="inlineStr">
        <is>
          <t>Centro</t>
        </is>
      </c>
      <c r="D111" s="8" t="n">
        <v>92101</v>
      </c>
      <c r="E111" s="10" t="n">
        <v>3</v>
      </c>
      <c r="F111" s="9">
        <f>G110+1</f>
        <v>46562</v>
      </c>
      <c r="G111" s="9">
        <f>F111+E111</f>
        <v>46565</v>
      </c>
      <c r="H111" s="8" t="inlineStr">
        <is>
          <t>DCMD / Contábil</t>
        </is>
      </c>
      <c r="I111" s="9" t="n"/>
      <c r="J111" s="8" t="n"/>
      <c r="K111" s="8" t="inlineStr">
        <is>
          <t>A iniciar</t>
        </is>
      </c>
    </row>
    <row r="112">
      <c r="A112" s="4" t="inlineStr">
        <is>
          <t>4.6</t>
        </is>
      </c>
      <c r="B112" s="40" t="inlineStr">
        <is>
          <t>BLOCO 8 - LD Cristalândia - Lagoa da Confusão - Instalação de 1 RT 34,5 kV (70838)</t>
        </is>
      </c>
      <c r="C112" s="5" t="inlineStr">
        <is>
          <t>Centro</t>
        </is>
      </c>
      <c r="D112" s="5" t="n">
        <v>70838</v>
      </c>
      <c r="E112" s="5">
        <f>G112-F112</f>
        <v>82</v>
      </c>
      <c r="F112" s="6">
        <f>MIN(F113:F122)</f>
        <v>46483</v>
      </c>
      <c r="G112" s="6">
        <f>MAX(G113:G122)</f>
        <v>46565</v>
      </c>
      <c r="H112" s="5" t="inlineStr">
        <is>
          <t>GP</t>
        </is>
      </c>
      <c r="I112" s="6" t="n"/>
      <c r="J112" s="5" t="n"/>
      <c r="K112" s="5" t="inlineStr">
        <is>
          <t>A iniciar</t>
        </is>
      </c>
    </row>
    <row r="113">
      <c r="A113" s="7" t="inlineStr">
        <is>
          <t>4.6.1</t>
        </is>
      </c>
      <c r="B113" s="35" t="inlineStr">
        <is>
          <t xml:space="preserve">   Executar Obras</t>
        </is>
      </c>
      <c r="C113" s="8" t="inlineStr">
        <is>
          <t>Centro</t>
        </is>
      </c>
      <c r="D113" s="8" t="n">
        <v>70838</v>
      </c>
      <c r="E113" s="10" t="n">
        <v>30</v>
      </c>
      <c r="F113" s="9">
        <f>G113-E113</f>
        <v>46483</v>
      </c>
      <c r="G113" s="9">
        <f>F115-1</f>
        <v>46513</v>
      </c>
      <c r="H113" s="8" t="inlineStr">
        <is>
          <t>EPS / Supervisor</t>
        </is>
      </c>
      <c r="I113" s="9" t="n"/>
      <c r="J113" s="8" t="n"/>
      <c r="K113" s="8" t="inlineStr">
        <is>
          <t>A iniciar</t>
        </is>
      </c>
    </row>
    <row r="114">
      <c r="A114" s="7" t="inlineStr">
        <is>
          <t>4.6.2</t>
        </is>
      </c>
      <c r="B114" s="38" t="inlineStr">
        <is>
          <t xml:space="preserve">   Obras Concluídas</t>
        </is>
      </c>
      <c r="C114" s="8" t="inlineStr">
        <is>
          <t>Centro</t>
        </is>
      </c>
      <c r="D114" s="8" t="n">
        <v>70838</v>
      </c>
      <c r="E114" s="10" t="n">
        <v>0</v>
      </c>
      <c r="F114" s="9">
        <f>G113</f>
        <v>46513</v>
      </c>
      <c r="G114" s="9">
        <f>G113</f>
        <v>46513</v>
      </c>
      <c r="H114" s="8" t="inlineStr">
        <is>
          <t>EPS</t>
        </is>
      </c>
      <c r="I114" s="9" t="n"/>
      <c r="J114" s="8" t="n"/>
      <c r="K114" s="8" t="inlineStr">
        <is>
          <t>A iniciar</t>
        </is>
      </c>
    </row>
    <row r="115">
      <c r="A115" s="7" t="inlineStr">
        <is>
          <t>4.6.3</t>
        </is>
      </c>
      <c r="B115" s="35" t="inlineStr">
        <is>
          <t xml:space="preserve">   Fiscalização</t>
        </is>
      </c>
      <c r="C115" s="8" t="inlineStr">
        <is>
          <t>Centro</t>
        </is>
      </c>
      <c r="D115" s="8" t="n">
        <v>70838</v>
      </c>
      <c r="E115" s="10" t="n">
        <v>12</v>
      </c>
      <c r="F115" s="9">
        <f>G115-E115</f>
        <v>46514</v>
      </c>
      <c r="G115" s="9">
        <f>F116-1</f>
        <v>46526</v>
      </c>
      <c r="H115" s="8" t="inlineStr">
        <is>
          <t>Fiscalização DCMD</t>
        </is>
      </c>
      <c r="I115" s="9" t="n"/>
      <c r="J115" s="8" t="n"/>
      <c r="K115" s="8" t="inlineStr">
        <is>
          <t>A iniciar</t>
        </is>
      </c>
    </row>
    <row r="116" ht="24.75" customHeight="1">
      <c r="A116" s="7" t="inlineStr">
        <is>
          <t>4.6.4</t>
        </is>
      </c>
      <c r="B116" s="35" t="inlineStr">
        <is>
          <t xml:space="preserve">   Cadastro EO / Integração parcial</t>
        </is>
      </c>
      <c r="C116" s="8" t="inlineStr">
        <is>
          <t>Centro</t>
        </is>
      </c>
      <c r="D116" s="8" t="n">
        <v>70838</v>
      </c>
      <c r="E116" s="10" t="n">
        <v>10</v>
      </c>
      <c r="F116" s="9">
        <f>G116-E116</f>
        <v>46527</v>
      </c>
      <c r="G116" s="9">
        <f>F119-1</f>
        <v>46537</v>
      </c>
      <c r="H116" s="8" t="inlineStr">
        <is>
          <t>Cadastro EO/TS</t>
        </is>
      </c>
      <c r="I116" s="9" t="n"/>
      <c r="J116" s="8" t="n"/>
      <c r="K116" s="8" t="inlineStr">
        <is>
          <t>A iniciar</t>
        </is>
      </c>
    </row>
    <row r="117">
      <c r="A117" s="7" t="inlineStr">
        <is>
          <t>4.6.5</t>
        </is>
      </c>
      <c r="B117" s="35" t="inlineStr">
        <is>
          <t xml:space="preserve">   Entrega do TCI pela empreiteira / Integração final</t>
        </is>
      </c>
      <c r="C117" s="8" t="inlineStr">
        <is>
          <t>Centro</t>
        </is>
      </c>
      <c r="D117" s="8" t="n">
        <v>70838</v>
      </c>
      <c r="E117" s="10" t="n">
        <v>15</v>
      </c>
      <c r="F117" s="9">
        <f>F119</f>
        <v>46538</v>
      </c>
      <c r="G117" s="9">
        <f>F117+E117</f>
        <v>46553</v>
      </c>
      <c r="H117" s="8" t="inlineStr">
        <is>
          <t>EPS</t>
        </is>
      </c>
      <c r="I117" s="9" t="n"/>
      <c r="J117" s="8" t="n"/>
      <c r="K117" s="8" t="inlineStr">
        <is>
          <t>A iniciar</t>
        </is>
      </c>
    </row>
    <row r="118">
      <c r="A118" s="7" t="inlineStr">
        <is>
          <t>4.6.6</t>
        </is>
      </c>
      <c r="B118" s="35" t="inlineStr">
        <is>
          <t xml:space="preserve">   Abertura de chamado / Atendimento GAT</t>
        </is>
      </c>
      <c r="C118" s="8" t="inlineStr">
        <is>
          <t>Centro</t>
        </is>
      </c>
      <c r="D118" s="8" t="n">
        <v>70838</v>
      </c>
      <c r="E118" s="10" t="n">
        <v>8</v>
      </c>
      <c r="F118" s="9">
        <f>F119</f>
        <v>46538</v>
      </c>
      <c r="G118" s="9">
        <f>F118+E118</f>
        <v>46546</v>
      </c>
      <c r="H118" s="8" t="inlineStr">
        <is>
          <t>GAT</t>
        </is>
      </c>
      <c r="I118" s="9" t="n"/>
      <c r="J118" s="8" t="n"/>
      <c r="K118" s="8" t="inlineStr">
        <is>
          <t>A iniciar</t>
        </is>
      </c>
    </row>
    <row r="119">
      <c r="A119" s="7" t="inlineStr">
        <is>
          <t>4.6.7</t>
        </is>
      </c>
      <c r="B119" s="35" t="inlineStr">
        <is>
          <t xml:space="preserve">   Comissionar Equipamentos</t>
        </is>
      </c>
      <c r="C119" s="8" t="inlineStr">
        <is>
          <t>Centro</t>
        </is>
      </c>
      <c r="D119" s="8" t="n">
        <v>70838</v>
      </c>
      <c r="E119" s="10" t="n">
        <v>15</v>
      </c>
      <c r="F119" s="9">
        <f>G119-E119</f>
        <v>46538</v>
      </c>
      <c r="G119" s="9">
        <f>F120</f>
        <v>46553</v>
      </c>
      <c r="H119" s="8" t="inlineStr">
        <is>
          <t>DMSL / DEOP</t>
        </is>
      </c>
      <c r="I119" s="9" t="n"/>
      <c r="J119" s="8" t="n"/>
      <c r="K119" s="8" t="inlineStr">
        <is>
          <t>A iniciar</t>
        </is>
      </c>
    </row>
    <row r="120">
      <c r="A120" s="7" t="inlineStr">
        <is>
          <t>4.6.8</t>
        </is>
      </c>
      <c r="B120" s="36" t="inlineStr">
        <is>
          <t xml:space="preserve">   Equipamentos em Operação</t>
        </is>
      </c>
      <c r="C120" s="8" t="inlineStr">
        <is>
          <t>Centro</t>
        </is>
      </c>
      <c r="D120" s="8" t="n">
        <v>70838</v>
      </c>
      <c r="E120" s="10" t="n">
        <v>0</v>
      </c>
      <c r="F120" s="11" t="n">
        <v>46553</v>
      </c>
      <c r="G120" s="9">
        <f>F120</f>
        <v>46553</v>
      </c>
      <c r="H120" s="8" t="inlineStr">
        <is>
          <t>DCMD</t>
        </is>
      </c>
      <c r="I120" s="15" t="n">
        <v>46539</v>
      </c>
      <c r="J120" s="41">
        <f>EOMONTH(I120,0)-F120</f>
        <v>15</v>
      </c>
      <c r="K120" s="8" t="inlineStr">
        <is>
          <t>A iniciar</t>
        </is>
      </c>
    </row>
    <row r="121">
      <c r="A121" s="7" t="inlineStr">
        <is>
          <t>4.6.9</t>
        </is>
      </c>
      <c r="B121" s="35" t="inlineStr">
        <is>
          <t xml:space="preserve">   Encerramento Técnico</t>
        </is>
      </c>
      <c r="C121" s="8" t="inlineStr">
        <is>
          <t>Centro</t>
        </is>
      </c>
      <c r="D121" s="8" t="n">
        <v>70838</v>
      </c>
      <c r="E121" s="10" t="n">
        <v>7</v>
      </c>
      <c r="F121" s="9">
        <f>G120+1</f>
        <v>46554</v>
      </c>
      <c r="G121" s="9">
        <f>F121+E121</f>
        <v>46561</v>
      </c>
      <c r="H121" s="8" t="inlineStr">
        <is>
          <t>DCMD</t>
        </is>
      </c>
      <c r="I121" s="9" t="n"/>
      <c r="J121" s="8" t="n"/>
      <c r="K121" s="8" t="inlineStr">
        <is>
          <t>A iniciar</t>
        </is>
      </c>
    </row>
    <row r="122">
      <c r="A122" s="7" t="inlineStr">
        <is>
          <t>4.6.10</t>
        </is>
      </c>
      <c r="B122" s="35" t="inlineStr">
        <is>
          <t xml:space="preserve">   Encerramento Contábil</t>
        </is>
      </c>
      <c r="C122" s="8" t="inlineStr">
        <is>
          <t>Centro</t>
        </is>
      </c>
      <c r="D122" s="8" t="n">
        <v>70838</v>
      </c>
      <c r="E122" s="10" t="n">
        <v>3</v>
      </c>
      <c r="F122" s="9">
        <f>G121+1</f>
        <v>46562</v>
      </c>
      <c r="G122" s="9">
        <f>F122+E122</f>
        <v>46565</v>
      </c>
      <c r="H122" s="8" t="inlineStr">
        <is>
          <t>DCMD / Contábil</t>
        </is>
      </c>
      <c r="I122" s="9" t="n"/>
      <c r="J122" s="8" t="n"/>
      <c r="K122" s="8" t="inlineStr">
        <is>
          <t>A iniciar</t>
        </is>
      </c>
    </row>
    <row r="123">
      <c r="A123" s="4" t="inlineStr">
        <is>
          <t>4.7</t>
        </is>
      </c>
      <c r="B123" s="40" t="inlineStr">
        <is>
          <t>BLOCO 9 - 6 de Palmas IV - Instalação de 1 RL 13,8 kV N.F (92102)</t>
        </is>
      </c>
      <c r="C123" s="5" t="inlineStr">
        <is>
          <t>Centro</t>
        </is>
      </c>
      <c r="D123" s="5" t="n">
        <v>92102</v>
      </c>
      <c r="E123" s="5">
        <f>G123-F123</f>
        <v>82</v>
      </c>
      <c r="F123" s="6">
        <f>MIN(F124:F133)</f>
        <v>46486</v>
      </c>
      <c r="G123" s="6">
        <f>MAX(G124:G133)</f>
        <v>46568</v>
      </c>
      <c r="H123" s="5" t="inlineStr">
        <is>
          <t>GP</t>
        </is>
      </c>
      <c r="I123" s="6" t="n"/>
      <c r="J123" s="5" t="n"/>
      <c r="K123" s="5" t="inlineStr">
        <is>
          <t>A iniciar</t>
        </is>
      </c>
    </row>
    <row r="124">
      <c r="A124" s="7" t="inlineStr">
        <is>
          <t>4.7.1</t>
        </is>
      </c>
      <c r="B124" s="35" t="inlineStr">
        <is>
          <t xml:space="preserve">   Executar Obras</t>
        </is>
      </c>
      <c r="C124" s="8" t="inlineStr">
        <is>
          <t>Centro</t>
        </is>
      </c>
      <c r="D124" s="8" t="n">
        <v>92102</v>
      </c>
      <c r="E124" s="10" t="n">
        <v>30</v>
      </c>
      <c r="F124" s="9">
        <f>G124-E124</f>
        <v>46486</v>
      </c>
      <c r="G124" s="9">
        <f>F126-1</f>
        <v>46516</v>
      </c>
      <c r="H124" s="8" t="inlineStr">
        <is>
          <t>EPS / Supervisor</t>
        </is>
      </c>
      <c r="I124" s="9" t="n"/>
      <c r="J124" s="8" t="n"/>
      <c r="K124" s="8" t="inlineStr">
        <is>
          <t>A iniciar</t>
        </is>
      </c>
    </row>
    <row r="125">
      <c r="A125" s="7" t="inlineStr">
        <is>
          <t>4.7.2</t>
        </is>
      </c>
      <c r="B125" s="38" t="inlineStr">
        <is>
          <t xml:space="preserve">   Obras Concluídas</t>
        </is>
      </c>
      <c r="C125" s="8" t="inlineStr">
        <is>
          <t>Centro</t>
        </is>
      </c>
      <c r="D125" s="8" t="n">
        <v>92102</v>
      </c>
      <c r="E125" s="10" t="n">
        <v>0</v>
      </c>
      <c r="F125" s="9">
        <f>G124</f>
        <v>46516</v>
      </c>
      <c r="G125" s="9">
        <f>G124</f>
        <v>46516</v>
      </c>
      <c r="H125" s="8" t="inlineStr">
        <is>
          <t>EPS</t>
        </is>
      </c>
      <c r="I125" s="9" t="n"/>
      <c r="J125" s="8" t="n"/>
      <c r="K125" s="8" t="inlineStr">
        <is>
          <t>A iniciar</t>
        </is>
      </c>
    </row>
    <row r="126">
      <c r="A126" s="7" t="inlineStr">
        <is>
          <t>4.7.3</t>
        </is>
      </c>
      <c r="B126" s="35" t="inlineStr">
        <is>
          <t xml:space="preserve">   Fiscalização</t>
        </is>
      </c>
      <c r="C126" s="8" t="inlineStr">
        <is>
          <t>Centro</t>
        </is>
      </c>
      <c r="D126" s="8" t="n">
        <v>92102</v>
      </c>
      <c r="E126" s="10" t="n">
        <v>12</v>
      </c>
      <c r="F126" s="9">
        <f>G126-E126</f>
        <v>46517</v>
      </c>
      <c r="G126" s="9">
        <f>F127-1</f>
        <v>46529</v>
      </c>
      <c r="H126" s="8" t="inlineStr">
        <is>
          <t>Fiscalização DCMD</t>
        </is>
      </c>
      <c r="I126" s="9" t="n"/>
      <c r="J126" s="8" t="n"/>
      <c r="K126" s="8" t="inlineStr">
        <is>
          <t>A iniciar</t>
        </is>
      </c>
    </row>
    <row r="127" ht="24.75" customHeight="1">
      <c r="A127" s="7" t="inlineStr">
        <is>
          <t>4.7.4</t>
        </is>
      </c>
      <c r="B127" s="35" t="inlineStr">
        <is>
          <t xml:space="preserve">   Cadastro EO / Integração parcial</t>
        </is>
      </c>
      <c r="C127" s="8" t="inlineStr">
        <is>
          <t>Centro</t>
        </is>
      </c>
      <c r="D127" s="8" t="n">
        <v>92102</v>
      </c>
      <c r="E127" s="10" t="n">
        <v>10</v>
      </c>
      <c r="F127" s="9">
        <f>G127-E127</f>
        <v>46530</v>
      </c>
      <c r="G127" s="9">
        <f>F130-1</f>
        <v>46540</v>
      </c>
      <c r="H127" s="8" t="inlineStr">
        <is>
          <t>Cadastro EO/TS</t>
        </is>
      </c>
      <c r="I127" s="9" t="n"/>
      <c r="J127" s="8" t="n"/>
      <c r="K127" s="8" t="inlineStr">
        <is>
          <t>A iniciar</t>
        </is>
      </c>
    </row>
    <row r="128">
      <c r="A128" s="7" t="inlineStr">
        <is>
          <t>4.7.5</t>
        </is>
      </c>
      <c r="B128" s="35" t="inlineStr">
        <is>
          <t xml:space="preserve">   Entrega do TCI pela empreiteira / Integração final</t>
        </is>
      </c>
      <c r="C128" s="8" t="inlineStr">
        <is>
          <t>Centro</t>
        </is>
      </c>
      <c r="D128" s="8" t="n">
        <v>92102</v>
      </c>
      <c r="E128" s="10" t="n">
        <v>15</v>
      </c>
      <c r="F128" s="9">
        <f>F130</f>
        <v>46541</v>
      </c>
      <c r="G128" s="9">
        <f>F128+E128</f>
        <v>46556</v>
      </c>
      <c r="H128" s="8" t="inlineStr">
        <is>
          <t>EPS</t>
        </is>
      </c>
      <c r="I128" s="9" t="n"/>
      <c r="J128" s="8" t="n"/>
      <c r="K128" s="8" t="inlineStr">
        <is>
          <t>A iniciar</t>
        </is>
      </c>
    </row>
    <row r="129">
      <c r="A129" s="7" t="inlineStr">
        <is>
          <t>4.7.6</t>
        </is>
      </c>
      <c r="B129" s="35" t="inlineStr">
        <is>
          <t xml:space="preserve">   Abertura de chamado / Atendimento GAT</t>
        </is>
      </c>
      <c r="C129" s="8" t="inlineStr">
        <is>
          <t>Centro</t>
        </is>
      </c>
      <c r="D129" s="8" t="n">
        <v>92102</v>
      </c>
      <c r="E129" s="10" t="n">
        <v>8</v>
      </c>
      <c r="F129" s="9">
        <f>F130</f>
        <v>46541</v>
      </c>
      <c r="G129" s="9">
        <f>F129+E129</f>
        <v>46549</v>
      </c>
      <c r="H129" s="8" t="inlineStr">
        <is>
          <t>GAT</t>
        </is>
      </c>
      <c r="I129" s="9" t="n"/>
      <c r="J129" s="8" t="n"/>
      <c r="K129" s="8" t="inlineStr">
        <is>
          <t>A iniciar</t>
        </is>
      </c>
    </row>
    <row r="130">
      <c r="A130" s="7" t="inlineStr">
        <is>
          <t>4.7.7</t>
        </is>
      </c>
      <c r="B130" s="35" t="inlineStr">
        <is>
          <t xml:space="preserve">   Comissionar Equipamentos</t>
        </is>
      </c>
      <c r="C130" s="8" t="inlineStr">
        <is>
          <t>Centro</t>
        </is>
      </c>
      <c r="D130" s="8" t="n">
        <v>92102</v>
      </c>
      <c r="E130" s="10" t="n">
        <v>15</v>
      </c>
      <c r="F130" s="9">
        <f>G130-E130</f>
        <v>46541</v>
      </c>
      <c r="G130" s="9">
        <f>F131</f>
        <v>46556</v>
      </c>
      <c r="H130" s="8" t="inlineStr">
        <is>
          <t>DMSL / DEOP</t>
        </is>
      </c>
      <c r="I130" s="9" t="n"/>
      <c r="J130" s="8" t="n"/>
      <c r="K130" s="8" t="inlineStr">
        <is>
          <t>A iniciar</t>
        </is>
      </c>
    </row>
    <row r="131">
      <c r="A131" s="7" t="inlineStr">
        <is>
          <t>4.7.8</t>
        </is>
      </c>
      <c r="B131" s="36" t="inlineStr">
        <is>
          <t xml:space="preserve">   Equipamentos em Operação</t>
        </is>
      </c>
      <c r="C131" s="8" t="inlineStr">
        <is>
          <t>Centro</t>
        </is>
      </c>
      <c r="D131" s="8" t="n">
        <v>92102</v>
      </c>
      <c r="E131" s="10" t="n">
        <v>0</v>
      </c>
      <c r="F131" s="11" t="n">
        <v>46556</v>
      </c>
      <c r="G131" s="9">
        <f>F131</f>
        <v>46556</v>
      </c>
      <c r="H131" s="8" t="inlineStr">
        <is>
          <t>DCMD</t>
        </is>
      </c>
      <c r="I131" s="15" t="n">
        <v>46539</v>
      </c>
      <c r="J131" s="41">
        <f>EOMONTH(I131,0)-F131</f>
        <v>12</v>
      </c>
      <c r="K131" s="8" t="inlineStr">
        <is>
          <t>A iniciar</t>
        </is>
      </c>
    </row>
    <row r="132">
      <c r="A132" s="7" t="inlineStr">
        <is>
          <t>4.7.9</t>
        </is>
      </c>
      <c r="B132" s="35" t="inlineStr">
        <is>
          <t xml:space="preserve">   Encerramento Técnico</t>
        </is>
      </c>
      <c r="C132" s="8" t="inlineStr">
        <is>
          <t>Centro</t>
        </is>
      </c>
      <c r="D132" s="8" t="n">
        <v>92102</v>
      </c>
      <c r="E132" s="10" t="n">
        <v>7</v>
      </c>
      <c r="F132" s="9">
        <f>G131+1</f>
        <v>46557</v>
      </c>
      <c r="G132" s="9">
        <f>F132+E132</f>
        <v>46564</v>
      </c>
      <c r="H132" s="8" t="inlineStr">
        <is>
          <t>DCMD</t>
        </is>
      </c>
      <c r="I132" s="9" t="n"/>
      <c r="J132" s="8" t="n"/>
      <c r="K132" s="8" t="inlineStr">
        <is>
          <t>A iniciar</t>
        </is>
      </c>
    </row>
    <row r="133">
      <c r="A133" s="7" t="inlineStr">
        <is>
          <t>4.7.10</t>
        </is>
      </c>
      <c r="B133" s="35" t="inlineStr">
        <is>
          <t xml:space="preserve">   Encerramento Contábil</t>
        </is>
      </c>
      <c r="C133" s="8" t="inlineStr">
        <is>
          <t>Centro</t>
        </is>
      </c>
      <c r="D133" s="8" t="n">
        <v>92102</v>
      </c>
      <c r="E133" s="10" t="n">
        <v>3</v>
      </c>
      <c r="F133" s="9">
        <f>G132+1</f>
        <v>46565</v>
      </c>
      <c r="G133" s="9">
        <f>F133+E133</f>
        <v>46568</v>
      </c>
      <c r="H133" s="8" t="inlineStr">
        <is>
          <t>DCMD / Contábil</t>
        </is>
      </c>
      <c r="I133" s="9" t="n"/>
      <c r="J133" s="8" t="n"/>
      <c r="K133" s="8" t="inlineStr">
        <is>
          <t>A iniciar</t>
        </is>
      </c>
    </row>
    <row r="134">
      <c r="A134" s="4" t="inlineStr">
        <is>
          <t>4.8</t>
        </is>
      </c>
      <c r="B134" s="40" t="inlineStr">
        <is>
          <t>BLOCO 10 - LD Paraíso I - Caseara - Instalação de 1 RT 34,5 kV e balanceamento de fases (70978)</t>
        </is>
      </c>
      <c r="C134" s="5" t="inlineStr">
        <is>
          <t>Centro</t>
        </is>
      </c>
      <c r="D134" s="5" t="n">
        <v>70978</v>
      </c>
      <c r="E134" s="5">
        <f>G134-F134</f>
        <v>82</v>
      </c>
      <c r="F134" s="6">
        <f>MIN(F135:F144)</f>
        <v>46486</v>
      </c>
      <c r="G134" s="6">
        <f>MAX(G135:G144)</f>
        <v>46568</v>
      </c>
      <c r="H134" s="5" t="inlineStr">
        <is>
          <t>GP</t>
        </is>
      </c>
      <c r="I134" s="6" t="n"/>
      <c r="J134" s="5" t="n"/>
      <c r="K134" s="5" t="inlineStr">
        <is>
          <t>A iniciar</t>
        </is>
      </c>
    </row>
    <row r="135">
      <c r="A135" s="7" t="inlineStr">
        <is>
          <t>4.8.1</t>
        </is>
      </c>
      <c r="B135" s="35" t="inlineStr">
        <is>
          <t xml:space="preserve">   Executar Obras</t>
        </is>
      </c>
      <c r="C135" s="8" t="inlineStr">
        <is>
          <t>Centro</t>
        </is>
      </c>
      <c r="D135" s="8" t="n">
        <v>70978</v>
      </c>
      <c r="E135" s="10" t="n">
        <v>30</v>
      </c>
      <c r="F135" s="9">
        <f>G135-E135</f>
        <v>46486</v>
      </c>
      <c r="G135" s="9">
        <f>F137-1</f>
        <v>46516</v>
      </c>
      <c r="H135" s="8" t="inlineStr">
        <is>
          <t>EPS / Supervisor</t>
        </is>
      </c>
      <c r="I135" s="9" t="n"/>
      <c r="J135" s="8" t="n"/>
      <c r="K135" s="8" t="inlineStr">
        <is>
          <t>A iniciar</t>
        </is>
      </c>
    </row>
    <row r="136">
      <c r="A136" s="7" t="inlineStr">
        <is>
          <t>4.8.2</t>
        </is>
      </c>
      <c r="B136" s="38" t="inlineStr">
        <is>
          <t xml:space="preserve">   Obras Concluídas</t>
        </is>
      </c>
      <c r="C136" s="8" t="inlineStr">
        <is>
          <t>Centro</t>
        </is>
      </c>
      <c r="D136" s="8" t="n">
        <v>70978</v>
      </c>
      <c r="E136" s="10" t="n">
        <v>0</v>
      </c>
      <c r="F136" s="9">
        <f>G135</f>
        <v>46516</v>
      </c>
      <c r="G136" s="9">
        <f>G135</f>
        <v>46516</v>
      </c>
      <c r="H136" s="8" t="inlineStr">
        <is>
          <t>EPS</t>
        </is>
      </c>
      <c r="I136" s="9" t="n"/>
      <c r="J136" s="8" t="n"/>
      <c r="K136" s="8" t="inlineStr">
        <is>
          <t>A iniciar</t>
        </is>
      </c>
    </row>
    <row r="137">
      <c r="A137" s="7" t="inlineStr">
        <is>
          <t>4.8.3</t>
        </is>
      </c>
      <c r="B137" s="35" t="inlineStr">
        <is>
          <t xml:space="preserve">   Fiscalização</t>
        </is>
      </c>
      <c r="C137" s="8" t="inlineStr">
        <is>
          <t>Centro</t>
        </is>
      </c>
      <c r="D137" s="8" t="n">
        <v>70978</v>
      </c>
      <c r="E137" s="10" t="n">
        <v>12</v>
      </c>
      <c r="F137" s="9">
        <f>G137-E137</f>
        <v>46517</v>
      </c>
      <c r="G137" s="9">
        <f>F138-1</f>
        <v>46529</v>
      </c>
      <c r="H137" s="8" t="inlineStr">
        <is>
          <t>Fiscalização DCMD</t>
        </is>
      </c>
      <c r="I137" s="9" t="n"/>
      <c r="J137" s="8" t="n"/>
      <c r="K137" s="8" t="inlineStr">
        <is>
          <t>A iniciar</t>
        </is>
      </c>
    </row>
    <row r="138" ht="24.75" customHeight="1">
      <c r="A138" s="7" t="inlineStr">
        <is>
          <t>4.8.4</t>
        </is>
      </c>
      <c r="B138" s="35" t="inlineStr">
        <is>
          <t xml:space="preserve">   Cadastro EO / Integração parcial</t>
        </is>
      </c>
      <c r="C138" s="8" t="inlineStr">
        <is>
          <t>Centro</t>
        </is>
      </c>
      <c r="D138" s="8" t="n">
        <v>70978</v>
      </c>
      <c r="E138" s="10" t="n">
        <v>10</v>
      </c>
      <c r="F138" s="9">
        <f>G138-E138</f>
        <v>46530</v>
      </c>
      <c r="G138" s="9">
        <f>F141-1</f>
        <v>46540</v>
      </c>
      <c r="H138" s="8" t="inlineStr">
        <is>
          <t>Cadastro EO/TS</t>
        </is>
      </c>
      <c r="I138" s="9" t="n"/>
      <c r="J138" s="8" t="n"/>
      <c r="K138" s="8" t="inlineStr">
        <is>
          <t>A iniciar</t>
        </is>
      </c>
    </row>
    <row r="139">
      <c r="A139" s="7" t="inlineStr">
        <is>
          <t>4.8.5</t>
        </is>
      </c>
      <c r="B139" s="35" t="inlineStr">
        <is>
          <t xml:space="preserve">   Entrega do TCI pela empreiteira / Integração final</t>
        </is>
      </c>
      <c r="C139" s="8" t="inlineStr">
        <is>
          <t>Centro</t>
        </is>
      </c>
      <c r="D139" s="8" t="n">
        <v>70978</v>
      </c>
      <c r="E139" s="10" t="n">
        <v>15</v>
      </c>
      <c r="F139" s="9">
        <f>F141</f>
        <v>46541</v>
      </c>
      <c r="G139" s="9">
        <f>F139+E139</f>
        <v>46556</v>
      </c>
      <c r="H139" s="8" t="inlineStr">
        <is>
          <t>EPS</t>
        </is>
      </c>
      <c r="I139" s="9" t="n"/>
      <c r="J139" s="8" t="n"/>
      <c r="K139" s="8" t="inlineStr">
        <is>
          <t>A iniciar</t>
        </is>
      </c>
    </row>
    <row r="140">
      <c r="A140" s="7" t="inlineStr">
        <is>
          <t>4.8.6</t>
        </is>
      </c>
      <c r="B140" s="35" t="inlineStr">
        <is>
          <t xml:space="preserve">   Abertura de chamado / Atendimento GAT</t>
        </is>
      </c>
      <c r="C140" s="8" t="inlineStr">
        <is>
          <t>Centro</t>
        </is>
      </c>
      <c r="D140" s="8" t="n">
        <v>70978</v>
      </c>
      <c r="E140" s="10" t="n">
        <v>8</v>
      </c>
      <c r="F140" s="9">
        <f>F141</f>
        <v>46541</v>
      </c>
      <c r="G140" s="9">
        <f>F140+E140</f>
        <v>46549</v>
      </c>
      <c r="H140" s="8" t="inlineStr">
        <is>
          <t>GAT</t>
        </is>
      </c>
      <c r="I140" s="9" t="n"/>
      <c r="J140" s="8" t="n"/>
      <c r="K140" s="8" t="inlineStr">
        <is>
          <t>A iniciar</t>
        </is>
      </c>
    </row>
    <row r="141">
      <c r="A141" s="7" t="inlineStr">
        <is>
          <t>4.8.7</t>
        </is>
      </c>
      <c r="B141" s="35" t="inlineStr">
        <is>
          <t xml:space="preserve">   Comissionar Equipamentos</t>
        </is>
      </c>
      <c r="C141" s="8" t="inlineStr">
        <is>
          <t>Centro</t>
        </is>
      </c>
      <c r="D141" s="8" t="n">
        <v>70978</v>
      </c>
      <c r="E141" s="10" t="n">
        <v>15</v>
      </c>
      <c r="F141" s="9">
        <f>G141-E141</f>
        <v>46541</v>
      </c>
      <c r="G141" s="9">
        <f>F142</f>
        <v>46556</v>
      </c>
      <c r="H141" s="8" t="inlineStr">
        <is>
          <t>DMSL / DEOP</t>
        </is>
      </c>
      <c r="I141" s="9" t="n"/>
      <c r="J141" s="8" t="n"/>
      <c r="K141" s="8" t="inlineStr">
        <is>
          <t>A iniciar</t>
        </is>
      </c>
    </row>
    <row r="142">
      <c r="A142" s="7" t="inlineStr">
        <is>
          <t>4.8.8</t>
        </is>
      </c>
      <c r="B142" s="36" t="inlineStr">
        <is>
          <t xml:space="preserve">   Equipamentos em Operação</t>
        </is>
      </c>
      <c r="C142" s="8" t="inlineStr">
        <is>
          <t>Centro</t>
        </is>
      </c>
      <c r="D142" s="8" t="n">
        <v>70978</v>
      </c>
      <c r="E142" s="10" t="n">
        <v>0</v>
      </c>
      <c r="F142" s="11" t="n">
        <v>46556</v>
      </c>
      <c r="G142" s="9">
        <f>F142</f>
        <v>46556</v>
      </c>
      <c r="H142" s="8" t="inlineStr">
        <is>
          <t>DCMD</t>
        </is>
      </c>
      <c r="I142" s="15" t="n">
        <v>46539</v>
      </c>
      <c r="J142" s="41">
        <f>EOMONTH(I142,0)-F142</f>
        <v>12</v>
      </c>
      <c r="K142" s="8" t="inlineStr">
        <is>
          <t>A iniciar</t>
        </is>
      </c>
    </row>
    <row r="143">
      <c r="A143" s="7" t="inlineStr">
        <is>
          <t>4.8.9</t>
        </is>
      </c>
      <c r="B143" s="35" t="inlineStr">
        <is>
          <t xml:space="preserve">   Encerramento Técnico</t>
        </is>
      </c>
      <c r="C143" s="8" t="inlineStr">
        <is>
          <t>Centro</t>
        </is>
      </c>
      <c r="D143" s="8" t="n">
        <v>70978</v>
      </c>
      <c r="E143" s="10" t="n">
        <v>7</v>
      </c>
      <c r="F143" s="9">
        <f>G142+1</f>
        <v>46557</v>
      </c>
      <c r="G143" s="9">
        <f>F143+E143</f>
        <v>46564</v>
      </c>
      <c r="H143" s="8" t="inlineStr">
        <is>
          <t>DCMD</t>
        </is>
      </c>
      <c r="I143" s="9" t="n"/>
      <c r="J143" s="8" t="n"/>
      <c r="K143" s="8" t="inlineStr">
        <is>
          <t>A iniciar</t>
        </is>
      </c>
    </row>
    <row r="144">
      <c r="A144" s="7" t="inlineStr">
        <is>
          <t>4.8.10</t>
        </is>
      </c>
      <c r="B144" s="35" t="inlineStr">
        <is>
          <t xml:space="preserve">   Encerramento Contábil</t>
        </is>
      </c>
      <c r="C144" s="8" t="inlineStr">
        <is>
          <t>Centro</t>
        </is>
      </c>
      <c r="D144" s="8" t="n">
        <v>70978</v>
      </c>
      <c r="E144" s="10" t="n">
        <v>3</v>
      </c>
      <c r="F144" s="9">
        <f>G143+1</f>
        <v>46565</v>
      </c>
      <c r="G144" s="9">
        <f>F144+E144</f>
        <v>46568</v>
      </c>
      <c r="H144" s="8" t="inlineStr">
        <is>
          <t>DCMD / Contábil</t>
        </is>
      </c>
      <c r="I144" s="9" t="n"/>
      <c r="J144" s="8" t="n"/>
      <c r="K144" s="8" t="inlineStr">
        <is>
          <t>A iniciar</t>
        </is>
      </c>
    </row>
    <row r="145">
      <c r="A145" s="4" t="inlineStr">
        <is>
          <t>4.9</t>
        </is>
      </c>
      <c r="B145" s="40" t="inlineStr">
        <is>
          <t>BLOCO 11 - LD Palmas - Aparecida do Rio Negro - Instalação de 3 RL 34,5 kV (92094)</t>
        </is>
      </c>
      <c r="C145" s="5" t="inlineStr">
        <is>
          <t>Centro</t>
        </is>
      </c>
      <c r="D145" s="5" t="n">
        <v>92094</v>
      </c>
      <c r="E145" s="5">
        <f>G145-F145</f>
        <v>82</v>
      </c>
      <c r="F145" s="6">
        <f>MIN(F146:F155)</f>
        <v>46493</v>
      </c>
      <c r="G145" s="6">
        <f>MAX(G146:G155)</f>
        <v>46575</v>
      </c>
      <c r="H145" s="5" t="inlineStr">
        <is>
          <t>GP</t>
        </is>
      </c>
      <c r="I145" s="6" t="n"/>
      <c r="J145" s="5" t="n"/>
      <c r="K145" s="5" t="inlineStr">
        <is>
          <t>A iniciar</t>
        </is>
      </c>
    </row>
    <row r="146">
      <c r="A146" s="7" t="inlineStr">
        <is>
          <t>4.9.1</t>
        </is>
      </c>
      <c r="B146" s="35" t="inlineStr">
        <is>
          <t xml:space="preserve">   Executar Obras</t>
        </is>
      </c>
      <c r="C146" s="8" t="inlineStr">
        <is>
          <t>Centro</t>
        </is>
      </c>
      <c r="D146" s="8" t="n">
        <v>92094</v>
      </c>
      <c r="E146" s="10" t="n">
        <v>30</v>
      </c>
      <c r="F146" s="9">
        <f>G146-E146</f>
        <v>46493</v>
      </c>
      <c r="G146" s="9">
        <f>F148-1</f>
        <v>46523</v>
      </c>
      <c r="H146" s="8" t="inlineStr">
        <is>
          <t>EPS / Supervisor</t>
        </is>
      </c>
      <c r="I146" s="9" t="n"/>
      <c r="J146" s="8" t="n"/>
      <c r="K146" s="8" t="inlineStr">
        <is>
          <t>A iniciar</t>
        </is>
      </c>
    </row>
    <row r="147">
      <c r="A147" s="7" t="inlineStr">
        <is>
          <t>4.9.2</t>
        </is>
      </c>
      <c r="B147" s="38" t="inlineStr">
        <is>
          <t xml:space="preserve">   Obras Concluídas</t>
        </is>
      </c>
      <c r="C147" s="8" t="inlineStr">
        <is>
          <t>Centro</t>
        </is>
      </c>
      <c r="D147" s="8" t="n">
        <v>92094</v>
      </c>
      <c r="E147" s="10" t="n">
        <v>0</v>
      </c>
      <c r="F147" s="9">
        <f>G146</f>
        <v>46523</v>
      </c>
      <c r="G147" s="9">
        <f>G146</f>
        <v>46523</v>
      </c>
      <c r="H147" s="8" t="inlineStr">
        <is>
          <t>EPS</t>
        </is>
      </c>
      <c r="I147" s="9" t="n"/>
      <c r="J147" s="8" t="n"/>
      <c r="K147" s="8" t="inlineStr">
        <is>
          <t>A iniciar</t>
        </is>
      </c>
    </row>
    <row r="148">
      <c r="A148" s="7" t="inlineStr">
        <is>
          <t>4.9.3</t>
        </is>
      </c>
      <c r="B148" s="35" t="inlineStr">
        <is>
          <t xml:space="preserve">   Fiscalização</t>
        </is>
      </c>
      <c r="C148" s="8" t="inlineStr">
        <is>
          <t>Centro</t>
        </is>
      </c>
      <c r="D148" s="8" t="n">
        <v>92094</v>
      </c>
      <c r="E148" s="10" t="n">
        <v>12</v>
      </c>
      <c r="F148" s="9">
        <f>G148-E148</f>
        <v>46524</v>
      </c>
      <c r="G148" s="9">
        <f>F149-1</f>
        <v>46536</v>
      </c>
      <c r="H148" s="8" t="inlineStr">
        <is>
          <t>Fiscalização DCMD</t>
        </is>
      </c>
      <c r="I148" s="9" t="n"/>
      <c r="J148" s="8" t="n"/>
      <c r="K148" s="8" t="inlineStr">
        <is>
          <t>A iniciar</t>
        </is>
      </c>
    </row>
    <row r="149">
      <c r="A149" s="7" t="inlineStr">
        <is>
          <t>4.9.4</t>
        </is>
      </c>
      <c r="B149" s="35" t="inlineStr">
        <is>
          <t xml:space="preserve">   Cadastro EO / Integração parcial</t>
        </is>
      </c>
      <c r="C149" s="8" t="inlineStr">
        <is>
          <t>Centro</t>
        </is>
      </c>
      <c r="D149" s="8" t="n">
        <v>92094</v>
      </c>
      <c r="E149" s="10" t="n">
        <v>10</v>
      </c>
      <c r="F149" s="9">
        <f>G149-E149</f>
        <v>46537</v>
      </c>
      <c r="G149" s="9">
        <f>F152-1</f>
        <v>46547</v>
      </c>
      <c r="H149" s="8" t="inlineStr">
        <is>
          <t>Cadastro EO/TS</t>
        </is>
      </c>
      <c r="I149" s="9" t="n"/>
      <c r="J149" s="8" t="n"/>
      <c r="K149" s="8" t="inlineStr">
        <is>
          <t>A iniciar</t>
        </is>
      </c>
    </row>
    <row r="150" ht="24.75" customHeight="1">
      <c r="A150" s="7" t="inlineStr">
        <is>
          <t>4.9.5</t>
        </is>
      </c>
      <c r="B150" s="35" t="inlineStr">
        <is>
          <t xml:space="preserve">   Entrega do TCI pela empreiteira / Integração final</t>
        </is>
      </c>
      <c r="C150" s="8" t="inlineStr">
        <is>
          <t>Centro</t>
        </is>
      </c>
      <c r="D150" s="8" t="n">
        <v>92094</v>
      </c>
      <c r="E150" s="10" t="n">
        <v>15</v>
      </c>
      <c r="F150" s="9">
        <f>F152</f>
        <v>46548</v>
      </c>
      <c r="G150" s="9">
        <f>F150+E150</f>
        <v>46563</v>
      </c>
      <c r="H150" s="8" t="inlineStr">
        <is>
          <t>EPS</t>
        </is>
      </c>
      <c r="I150" s="9" t="n"/>
      <c r="J150" s="8" t="n"/>
      <c r="K150" s="8" t="inlineStr">
        <is>
          <t>A iniciar</t>
        </is>
      </c>
    </row>
    <row r="151">
      <c r="A151" s="7" t="inlineStr">
        <is>
          <t>4.9.6</t>
        </is>
      </c>
      <c r="B151" s="35" t="inlineStr">
        <is>
          <t xml:space="preserve">   Abertura de chamado / Atendimento GAT</t>
        </is>
      </c>
      <c r="C151" s="8" t="inlineStr">
        <is>
          <t>Centro</t>
        </is>
      </c>
      <c r="D151" s="8" t="n">
        <v>92094</v>
      </c>
      <c r="E151" s="10" t="n">
        <v>8</v>
      </c>
      <c r="F151" s="9">
        <f>F152</f>
        <v>46548</v>
      </c>
      <c r="G151" s="9">
        <f>F151+E151</f>
        <v>46556</v>
      </c>
      <c r="H151" s="8" t="inlineStr">
        <is>
          <t>GAT</t>
        </is>
      </c>
      <c r="I151" s="9" t="n"/>
      <c r="J151" s="8" t="n"/>
      <c r="K151" s="8" t="inlineStr">
        <is>
          <t>A iniciar</t>
        </is>
      </c>
    </row>
    <row r="152">
      <c r="A152" s="7" t="inlineStr">
        <is>
          <t>4.9.7</t>
        </is>
      </c>
      <c r="B152" s="35" t="inlineStr">
        <is>
          <t xml:space="preserve">   Comissionar Equipamentos</t>
        </is>
      </c>
      <c r="C152" s="8" t="inlineStr">
        <is>
          <t>Centro</t>
        </is>
      </c>
      <c r="D152" s="8" t="n">
        <v>92094</v>
      </c>
      <c r="E152" s="10" t="n">
        <v>15</v>
      </c>
      <c r="F152" s="9">
        <f>G152-E152</f>
        <v>46548</v>
      </c>
      <c r="G152" s="9">
        <f>F153</f>
        <v>46563</v>
      </c>
      <c r="H152" s="8" t="inlineStr">
        <is>
          <t>DMSL / DEOP</t>
        </is>
      </c>
      <c r="I152" s="9" t="n"/>
      <c r="J152" s="8" t="n"/>
      <c r="K152" s="8" t="inlineStr">
        <is>
          <t>A iniciar</t>
        </is>
      </c>
    </row>
    <row r="153">
      <c r="A153" s="7" t="inlineStr">
        <is>
          <t>4.9.8</t>
        </is>
      </c>
      <c r="B153" s="36" t="inlineStr">
        <is>
          <t xml:space="preserve">   Equipamentos em Operação</t>
        </is>
      </c>
      <c r="C153" s="8" t="inlineStr">
        <is>
          <t>Centro</t>
        </is>
      </c>
      <c r="D153" s="8" t="n">
        <v>92094</v>
      </c>
      <c r="E153" s="10" t="n">
        <v>0</v>
      </c>
      <c r="F153" s="11" t="n">
        <v>46563</v>
      </c>
      <c r="G153" s="9">
        <f>F153</f>
        <v>46563</v>
      </c>
      <c r="H153" s="8" t="inlineStr">
        <is>
          <t>DCMD</t>
        </is>
      </c>
      <c r="I153" s="15" t="n">
        <v>46539</v>
      </c>
      <c r="J153" s="41">
        <f>EOMONTH(I153,0)-F153</f>
        <v>5</v>
      </c>
      <c r="K153" s="8" t="inlineStr">
        <is>
          <t>A iniciar</t>
        </is>
      </c>
    </row>
    <row r="154">
      <c r="A154" s="7" t="inlineStr">
        <is>
          <t>4.9.9</t>
        </is>
      </c>
      <c r="B154" s="35" t="inlineStr">
        <is>
          <t xml:space="preserve">   Encerramento Técnico</t>
        </is>
      </c>
      <c r="C154" s="8" t="inlineStr">
        <is>
          <t>Centro</t>
        </is>
      </c>
      <c r="D154" s="8" t="n">
        <v>92094</v>
      </c>
      <c r="E154" s="10" t="n">
        <v>7</v>
      </c>
      <c r="F154" s="9">
        <f>G153+1</f>
        <v>46564</v>
      </c>
      <c r="G154" s="9">
        <f>F154+E154</f>
        <v>46571</v>
      </c>
      <c r="H154" s="8" t="inlineStr">
        <is>
          <t>DCMD</t>
        </is>
      </c>
      <c r="I154" s="9" t="n"/>
      <c r="J154" s="8" t="n"/>
      <c r="K154" s="8" t="inlineStr">
        <is>
          <t>A iniciar</t>
        </is>
      </c>
    </row>
    <row r="155">
      <c r="A155" s="7" t="inlineStr">
        <is>
          <t>4.9.10</t>
        </is>
      </c>
      <c r="B155" s="35" t="inlineStr">
        <is>
          <t xml:space="preserve">   Encerramento Contábil</t>
        </is>
      </c>
      <c r="C155" s="8" t="inlineStr">
        <is>
          <t>Centro</t>
        </is>
      </c>
      <c r="D155" s="8" t="n">
        <v>92094</v>
      </c>
      <c r="E155" s="10" t="n">
        <v>3</v>
      </c>
      <c r="F155" s="9">
        <f>G154+1</f>
        <v>46572</v>
      </c>
      <c r="G155" s="9">
        <f>F155+E155</f>
        <v>46575</v>
      </c>
      <c r="H155" s="8" t="inlineStr">
        <is>
          <t>DCMD / Contábil</t>
        </is>
      </c>
      <c r="I155" s="9" t="n"/>
      <c r="J155" s="8" t="n"/>
      <c r="K155" s="8" t="inlineStr">
        <is>
          <t>A iniciar</t>
        </is>
      </c>
    </row>
    <row r="156">
      <c r="A156" s="12" t="inlineStr">
        <is>
          <t>5</t>
        </is>
      </c>
      <c r="B156" s="37" t="inlineStr">
        <is>
          <t>REGIONAL SUL</t>
        </is>
      </c>
      <c r="C156" s="13" t="inlineStr">
        <is>
          <t>Sul</t>
        </is>
      </c>
      <c r="D156" s="13" t="n"/>
      <c r="E156" s="13">
        <f>G156-F156</f>
        <v>141</v>
      </c>
      <c r="F156" s="14">
        <f>MIN(F157:F189)</f>
        <v>46483</v>
      </c>
      <c r="G156" s="14">
        <f>MAX(G157:G189)</f>
        <v>46624</v>
      </c>
      <c r="H156" s="13" t="n"/>
      <c r="I156" s="14" t="n"/>
      <c r="J156" s="13" t="n"/>
      <c r="K156" s="13" t="n"/>
    </row>
    <row r="157">
      <c r="A157" s="4" t="inlineStr">
        <is>
          <t>5.1</t>
        </is>
      </c>
      <c r="B157" s="40" t="inlineStr">
        <is>
          <t>BLOCO 12 - LD Gurupi - Dueré - Instalação de 1 RL 34,5 kV (91979)</t>
        </is>
      </c>
      <c r="C157" s="5" t="inlineStr">
        <is>
          <t>Sul</t>
        </is>
      </c>
      <c r="D157" s="5" t="n">
        <v>91979</v>
      </c>
      <c r="E157" s="5">
        <f>G157-F157</f>
        <v>82</v>
      </c>
      <c r="F157" s="6">
        <f>MIN(F158:F167)</f>
        <v>46483</v>
      </c>
      <c r="G157" s="6">
        <f>MAX(G158:G167)</f>
        <v>46565</v>
      </c>
      <c r="H157" s="5" t="inlineStr">
        <is>
          <t>GP</t>
        </is>
      </c>
      <c r="I157" s="6" t="n"/>
      <c r="J157" s="5" t="n"/>
      <c r="K157" s="5" t="inlineStr">
        <is>
          <t>A iniciar</t>
        </is>
      </c>
    </row>
    <row r="158">
      <c r="A158" s="7" t="inlineStr">
        <is>
          <t>5.1.1</t>
        </is>
      </c>
      <c r="B158" s="35" t="inlineStr">
        <is>
          <t xml:space="preserve">   Executar Obras</t>
        </is>
      </c>
      <c r="C158" s="8" t="inlineStr">
        <is>
          <t>Sul</t>
        </is>
      </c>
      <c r="D158" s="8" t="n">
        <v>91979</v>
      </c>
      <c r="E158" s="10" t="n">
        <v>30</v>
      </c>
      <c r="F158" s="9">
        <f>G158-E158</f>
        <v>46483</v>
      </c>
      <c r="G158" s="9">
        <f>F160-1</f>
        <v>46513</v>
      </c>
      <c r="H158" s="8" t="inlineStr">
        <is>
          <t>EPS / Supervisor</t>
        </is>
      </c>
      <c r="I158" s="9" t="n"/>
      <c r="J158" s="8" t="n"/>
      <c r="K158" s="8" t="inlineStr">
        <is>
          <t>A iniciar</t>
        </is>
      </c>
    </row>
    <row r="159">
      <c r="A159" s="7" t="inlineStr">
        <is>
          <t>5.1.2</t>
        </is>
      </c>
      <c r="B159" s="38" t="inlineStr">
        <is>
          <t xml:space="preserve">   Obras Concluídas</t>
        </is>
      </c>
      <c r="C159" s="8" t="inlineStr">
        <is>
          <t>Sul</t>
        </is>
      </c>
      <c r="D159" s="8" t="n">
        <v>91979</v>
      </c>
      <c r="E159" s="10" t="n">
        <v>0</v>
      </c>
      <c r="F159" s="9">
        <f>G158</f>
        <v>46513</v>
      </c>
      <c r="G159" s="9">
        <f>G158</f>
        <v>46513</v>
      </c>
      <c r="H159" s="8" t="inlineStr">
        <is>
          <t>EPS</t>
        </is>
      </c>
      <c r="I159" s="9" t="n"/>
      <c r="J159" s="8" t="n"/>
      <c r="K159" s="8" t="inlineStr">
        <is>
          <t>A iniciar</t>
        </is>
      </c>
    </row>
    <row r="160">
      <c r="A160" s="7" t="inlineStr">
        <is>
          <t>5.1.3</t>
        </is>
      </c>
      <c r="B160" s="35" t="inlineStr">
        <is>
          <t xml:space="preserve">   Fiscalização</t>
        </is>
      </c>
      <c r="C160" s="8" t="inlineStr">
        <is>
          <t>Sul</t>
        </is>
      </c>
      <c r="D160" s="8" t="n">
        <v>91979</v>
      </c>
      <c r="E160" s="10" t="n">
        <v>12</v>
      </c>
      <c r="F160" s="9">
        <f>G160-E160</f>
        <v>46514</v>
      </c>
      <c r="G160" s="9">
        <f>F161-1</f>
        <v>46526</v>
      </c>
      <c r="H160" s="8" t="inlineStr">
        <is>
          <t>Fiscalização DCMD</t>
        </is>
      </c>
      <c r="I160" s="9" t="n"/>
      <c r="J160" s="8" t="n"/>
      <c r="K160" s="8" t="inlineStr">
        <is>
          <t>A iniciar</t>
        </is>
      </c>
    </row>
    <row r="161" ht="24.75" customHeight="1">
      <c r="A161" s="7" t="inlineStr">
        <is>
          <t>5.1.4</t>
        </is>
      </c>
      <c r="B161" s="35" t="inlineStr">
        <is>
          <t xml:space="preserve">   Cadastro EO / Integração parcial</t>
        </is>
      </c>
      <c r="C161" s="8" t="inlineStr">
        <is>
          <t>Sul</t>
        </is>
      </c>
      <c r="D161" s="8" t="n">
        <v>91979</v>
      </c>
      <c r="E161" s="10" t="n">
        <v>10</v>
      </c>
      <c r="F161" s="9">
        <f>G161-E161</f>
        <v>46527</v>
      </c>
      <c r="G161" s="9">
        <f>F164-1</f>
        <v>46537</v>
      </c>
      <c r="H161" s="8" t="inlineStr">
        <is>
          <t>Cadastro EO/TS</t>
        </is>
      </c>
      <c r="I161" s="9" t="n"/>
      <c r="J161" s="8" t="n"/>
      <c r="K161" s="8" t="inlineStr">
        <is>
          <t>A iniciar</t>
        </is>
      </c>
    </row>
    <row r="162">
      <c r="A162" s="7" t="inlineStr">
        <is>
          <t>5.1.5</t>
        </is>
      </c>
      <c r="B162" s="35" t="inlineStr">
        <is>
          <t xml:space="preserve">   Entrega do TCI pela empreiteira / Integração final</t>
        </is>
      </c>
      <c r="C162" s="8" t="inlineStr">
        <is>
          <t>Sul</t>
        </is>
      </c>
      <c r="D162" s="8" t="n">
        <v>91979</v>
      </c>
      <c r="E162" s="10" t="n">
        <v>15</v>
      </c>
      <c r="F162" s="9">
        <f>F164</f>
        <v>46538</v>
      </c>
      <c r="G162" s="9">
        <f>F162+E162</f>
        <v>46553</v>
      </c>
      <c r="H162" s="8" t="inlineStr">
        <is>
          <t>EPS</t>
        </is>
      </c>
      <c r="I162" s="9" t="n"/>
      <c r="J162" s="8" t="n"/>
      <c r="K162" s="8" t="inlineStr">
        <is>
          <t>A iniciar</t>
        </is>
      </c>
    </row>
    <row r="163">
      <c r="A163" s="7" t="inlineStr">
        <is>
          <t>5.1.6</t>
        </is>
      </c>
      <c r="B163" s="35" t="inlineStr">
        <is>
          <t xml:space="preserve">   Abertura de chamado / Atendimento GAT</t>
        </is>
      </c>
      <c r="C163" s="8" t="inlineStr">
        <is>
          <t>Sul</t>
        </is>
      </c>
      <c r="D163" s="8" t="n">
        <v>91979</v>
      </c>
      <c r="E163" s="10" t="n">
        <v>8</v>
      </c>
      <c r="F163" s="9">
        <f>F164</f>
        <v>46538</v>
      </c>
      <c r="G163" s="9">
        <f>F163+E163</f>
        <v>46546</v>
      </c>
      <c r="H163" s="8" t="inlineStr">
        <is>
          <t>GAT</t>
        </is>
      </c>
      <c r="I163" s="9" t="n"/>
      <c r="J163" s="8" t="n"/>
      <c r="K163" s="8" t="inlineStr">
        <is>
          <t>A iniciar</t>
        </is>
      </c>
    </row>
    <row r="164">
      <c r="A164" s="7" t="inlineStr">
        <is>
          <t>5.1.7</t>
        </is>
      </c>
      <c r="B164" s="35" t="inlineStr">
        <is>
          <t xml:space="preserve">   Comissionar Equipamentos</t>
        </is>
      </c>
      <c r="C164" s="8" t="inlineStr">
        <is>
          <t>Sul</t>
        </is>
      </c>
      <c r="D164" s="8" t="n">
        <v>91979</v>
      </c>
      <c r="E164" s="10" t="n">
        <v>15</v>
      </c>
      <c r="F164" s="9">
        <f>G164-E164</f>
        <v>46538</v>
      </c>
      <c r="G164" s="9">
        <f>F165</f>
        <v>46553</v>
      </c>
      <c r="H164" s="8" t="inlineStr">
        <is>
          <t>DMSL / DEOP</t>
        </is>
      </c>
      <c r="I164" s="9" t="n"/>
      <c r="J164" s="8" t="n"/>
      <c r="K164" s="8" t="inlineStr">
        <is>
          <t>A iniciar</t>
        </is>
      </c>
    </row>
    <row r="165">
      <c r="A165" s="7" t="inlineStr">
        <is>
          <t>5.1.8</t>
        </is>
      </c>
      <c r="B165" s="36" t="inlineStr">
        <is>
          <t xml:space="preserve">   Equipamentos em Operação</t>
        </is>
      </c>
      <c r="C165" s="8" t="inlineStr">
        <is>
          <t>Sul</t>
        </is>
      </c>
      <c r="D165" s="8" t="n">
        <v>91979</v>
      </c>
      <c r="E165" s="10" t="n">
        <v>0</v>
      </c>
      <c r="F165" s="11" t="n">
        <v>46553</v>
      </c>
      <c r="G165" s="9">
        <f>F165</f>
        <v>46553</v>
      </c>
      <c r="H165" s="8" t="inlineStr">
        <is>
          <t>DCMD</t>
        </is>
      </c>
      <c r="I165" s="15" t="n">
        <v>46508</v>
      </c>
      <c r="J165" s="41">
        <f>EOMONTH(I165,0)-F165</f>
        <v>-15</v>
      </c>
      <c r="K165" s="8" t="inlineStr">
        <is>
          <t>A iniciar</t>
        </is>
      </c>
    </row>
    <row r="166">
      <c r="A166" s="7" t="inlineStr">
        <is>
          <t>5.1.9</t>
        </is>
      </c>
      <c r="B166" s="35" t="inlineStr">
        <is>
          <t xml:space="preserve">   Encerramento Técnico</t>
        </is>
      </c>
      <c r="C166" s="8" t="inlineStr">
        <is>
          <t>Sul</t>
        </is>
      </c>
      <c r="D166" s="8" t="n">
        <v>91979</v>
      </c>
      <c r="E166" s="10" t="n">
        <v>7</v>
      </c>
      <c r="F166" s="9">
        <f>G165+1</f>
        <v>46554</v>
      </c>
      <c r="G166" s="9">
        <f>F166+E166</f>
        <v>46561</v>
      </c>
      <c r="H166" s="8" t="inlineStr">
        <is>
          <t>DCMD</t>
        </is>
      </c>
      <c r="I166" s="9" t="n"/>
      <c r="J166" s="8" t="n"/>
      <c r="K166" s="8" t="inlineStr">
        <is>
          <t>A iniciar</t>
        </is>
      </c>
    </row>
    <row r="167">
      <c r="A167" s="7" t="inlineStr">
        <is>
          <t>5.1.10</t>
        </is>
      </c>
      <c r="B167" s="35" t="inlineStr">
        <is>
          <t xml:space="preserve">   Encerramento Contábil</t>
        </is>
      </c>
      <c r="C167" s="8" t="inlineStr">
        <is>
          <t>Sul</t>
        </is>
      </c>
      <c r="D167" s="8" t="n">
        <v>91979</v>
      </c>
      <c r="E167" s="10" t="n">
        <v>3</v>
      </c>
      <c r="F167" s="9">
        <f>G166+1</f>
        <v>46562</v>
      </c>
      <c r="G167" s="9">
        <f>F167+E167</f>
        <v>46565</v>
      </c>
      <c r="H167" s="8" t="inlineStr">
        <is>
          <t>DCMD / Contábil</t>
        </is>
      </c>
      <c r="I167" s="9" t="n"/>
      <c r="J167" s="8" t="n"/>
      <c r="K167" s="8" t="inlineStr">
        <is>
          <t>A iniciar</t>
        </is>
      </c>
    </row>
    <row r="168">
      <c r="A168" s="4" t="inlineStr">
        <is>
          <t>5.2</t>
        </is>
      </c>
      <c r="B168" s="40" t="inlineStr">
        <is>
          <t>BLOCO 12 - LD Gurupi - Dueré - Instalação de  3 TripSavers (91979)</t>
        </is>
      </c>
      <c r="C168" s="5" t="inlineStr">
        <is>
          <t>Sul</t>
        </is>
      </c>
      <c r="D168" s="5" t="n">
        <v>91979</v>
      </c>
      <c r="E168" s="5">
        <f>G168-F168</f>
        <v>82</v>
      </c>
      <c r="F168" s="6">
        <f>MIN(F169:F178)</f>
        <v>46483</v>
      </c>
      <c r="G168" s="6">
        <f>MAX(G169:G178)</f>
        <v>46565</v>
      </c>
      <c r="H168" s="5" t="inlineStr">
        <is>
          <t>GP</t>
        </is>
      </c>
      <c r="I168" s="6" t="n"/>
      <c r="J168" s="5" t="n"/>
      <c r="K168" s="5" t="inlineStr">
        <is>
          <t>A iniciar</t>
        </is>
      </c>
    </row>
    <row r="169">
      <c r="A169" s="7" t="inlineStr">
        <is>
          <t>5.2.1</t>
        </is>
      </c>
      <c r="B169" s="35" t="inlineStr">
        <is>
          <t xml:space="preserve">   Executar Obras</t>
        </is>
      </c>
      <c r="C169" s="8" t="inlineStr">
        <is>
          <t>Sul</t>
        </is>
      </c>
      <c r="D169" s="8" t="n">
        <v>91979</v>
      </c>
      <c r="E169" s="10" t="n">
        <v>30</v>
      </c>
      <c r="F169" s="9">
        <f>G169-E169</f>
        <v>46483</v>
      </c>
      <c r="G169" s="9">
        <f>F171-1</f>
        <v>46513</v>
      </c>
      <c r="H169" s="8" t="inlineStr">
        <is>
          <t>EPS / Supervisor</t>
        </is>
      </c>
      <c r="I169" s="9" t="n"/>
      <c r="J169" s="8" t="n"/>
      <c r="K169" s="8" t="inlineStr">
        <is>
          <t>A iniciar</t>
        </is>
      </c>
    </row>
    <row r="170">
      <c r="A170" s="7" t="inlineStr">
        <is>
          <t>5.2.2</t>
        </is>
      </c>
      <c r="B170" s="38" t="inlineStr">
        <is>
          <t xml:space="preserve">   Obras Concluídas</t>
        </is>
      </c>
      <c r="C170" s="8" t="inlineStr">
        <is>
          <t>Sul</t>
        </is>
      </c>
      <c r="D170" s="8" t="n">
        <v>91979</v>
      </c>
      <c r="E170" s="10" t="n">
        <v>0</v>
      </c>
      <c r="F170" s="9">
        <f>G169</f>
        <v>46513</v>
      </c>
      <c r="G170" s="9">
        <f>G169</f>
        <v>46513</v>
      </c>
      <c r="H170" s="8" t="inlineStr">
        <is>
          <t>EPS</t>
        </is>
      </c>
      <c r="I170" s="9" t="n"/>
      <c r="J170" s="8" t="n"/>
      <c r="K170" s="8" t="inlineStr">
        <is>
          <t>A iniciar</t>
        </is>
      </c>
    </row>
    <row r="171">
      <c r="A171" s="7" t="inlineStr">
        <is>
          <t>5.2.3</t>
        </is>
      </c>
      <c r="B171" s="35" t="inlineStr">
        <is>
          <t xml:space="preserve">   Fiscalização</t>
        </is>
      </c>
      <c r="C171" s="8" t="inlineStr">
        <is>
          <t>Sul</t>
        </is>
      </c>
      <c r="D171" s="8" t="n">
        <v>91979</v>
      </c>
      <c r="E171" s="10" t="n">
        <v>12</v>
      </c>
      <c r="F171" s="9">
        <f>G171-E171</f>
        <v>46514</v>
      </c>
      <c r="G171" s="9">
        <f>F172-1</f>
        <v>46526</v>
      </c>
      <c r="H171" s="8" t="inlineStr">
        <is>
          <t>Fiscalização DCMD</t>
        </is>
      </c>
      <c r="I171" s="9" t="n"/>
      <c r="J171" s="8" t="n"/>
      <c r="K171" s="8" t="inlineStr">
        <is>
          <t>A iniciar</t>
        </is>
      </c>
    </row>
    <row r="172" ht="24.75" customHeight="1">
      <c r="A172" s="7" t="inlineStr">
        <is>
          <t>5.2.4</t>
        </is>
      </c>
      <c r="B172" s="35" t="inlineStr">
        <is>
          <t xml:space="preserve">   Cadastro EO / Integração parcial</t>
        </is>
      </c>
      <c r="C172" s="8" t="inlineStr">
        <is>
          <t>Sul</t>
        </is>
      </c>
      <c r="D172" s="8" t="n">
        <v>91979</v>
      </c>
      <c r="E172" s="10" t="n">
        <v>10</v>
      </c>
      <c r="F172" s="9">
        <f>G172-E172</f>
        <v>46527</v>
      </c>
      <c r="G172" s="9">
        <f>F175-1</f>
        <v>46537</v>
      </c>
      <c r="H172" s="8" t="inlineStr">
        <is>
          <t>Cadastro EO/TS</t>
        </is>
      </c>
      <c r="I172" s="9" t="n"/>
      <c r="J172" s="8" t="n"/>
      <c r="K172" s="8" t="inlineStr">
        <is>
          <t>A iniciar</t>
        </is>
      </c>
    </row>
    <row r="173">
      <c r="A173" s="7" t="inlineStr">
        <is>
          <t>5.2.5</t>
        </is>
      </c>
      <c r="B173" s="35" t="inlineStr">
        <is>
          <t xml:space="preserve">   Entrega do TCI pela empreiteira / Integração final</t>
        </is>
      </c>
      <c r="C173" s="8" t="inlineStr">
        <is>
          <t>Sul</t>
        </is>
      </c>
      <c r="D173" s="8" t="n">
        <v>91979</v>
      </c>
      <c r="E173" s="10" t="n">
        <v>15</v>
      </c>
      <c r="F173" s="9">
        <f>F175</f>
        <v>46538</v>
      </c>
      <c r="G173" s="9">
        <f>F173+E173</f>
        <v>46553</v>
      </c>
      <c r="H173" s="8" t="inlineStr">
        <is>
          <t>EPS</t>
        </is>
      </c>
      <c r="I173" s="9" t="n"/>
      <c r="J173" s="8" t="n"/>
      <c r="K173" s="8" t="inlineStr">
        <is>
          <t>A iniciar</t>
        </is>
      </c>
    </row>
    <row r="174">
      <c r="A174" s="7" t="inlineStr">
        <is>
          <t>5.2.6</t>
        </is>
      </c>
      <c r="B174" s="35" t="inlineStr">
        <is>
          <t xml:space="preserve">   Abertura de chamado / Atendimento GAT</t>
        </is>
      </c>
      <c r="C174" s="8" t="inlineStr">
        <is>
          <t>Sul</t>
        </is>
      </c>
      <c r="D174" s="8" t="n">
        <v>91979</v>
      </c>
      <c r="E174" s="10" t="n">
        <v>8</v>
      </c>
      <c r="F174" s="9">
        <f>F175</f>
        <v>46538</v>
      </c>
      <c r="G174" s="9">
        <f>F174+E174</f>
        <v>46546</v>
      </c>
      <c r="H174" s="8" t="inlineStr">
        <is>
          <t>GAT</t>
        </is>
      </c>
      <c r="I174" s="9" t="n"/>
      <c r="J174" s="8" t="n"/>
      <c r="K174" s="8" t="inlineStr">
        <is>
          <t>A iniciar</t>
        </is>
      </c>
    </row>
    <row r="175">
      <c r="A175" s="7" t="inlineStr">
        <is>
          <t>5.2.7</t>
        </is>
      </c>
      <c r="B175" s="35" t="inlineStr">
        <is>
          <t xml:space="preserve">   Comissionar Equipamentos</t>
        </is>
      </c>
      <c r="C175" s="8" t="inlineStr">
        <is>
          <t>Sul</t>
        </is>
      </c>
      <c r="D175" s="8" t="n">
        <v>91979</v>
      </c>
      <c r="E175" s="10" t="n">
        <v>15</v>
      </c>
      <c r="F175" s="9">
        <f>G175-E175</f>
        <v>46538</v>
      </c>
      <c r="G175" s="9">
        <f>F176</f>
        <v>46553</v>
      </c>
      <c r="H175" s="8" t="inlineStr">
        <is>
          <t>DMSL / DEOP</t>
        </is>
      </c>
      <c r="I175" s="9" t="n"/>
      <c r="J175" s="8" t="n"/>
      <c r="K175" s="8" t="inlineStr">
        <is>
          <t>A iniciar</t>
        </is>
      </c>
    </row>
    <row r="176">
      <c r="A176" s="7" t="inlineStr">
        <is>
          <t>5.2.8</t>
        </is>
      </c>
      <c r="B176" s="36" t="inlineStr">
        <is>
          <t xml:space="preserve">   Equipamentos em Operação</t>
        </is>
      </c>
      <c r="C176" s="8" t="inlineStr">
        <is>
          <t>Sul</t>
        </is>
      </c>
      <c r="D176" s="8" t="n">
        <v>91979</v>
      </c>
      <c r="E176" s="10" t="n">
        <v>0</v>
      </c>
      <c r="F176" s="11" t="n">
        <v>46553</v>
      </c>
      <c r="G176" s="9">
        <f>F176</f>
        <v>46553</v>
      </c>
      <c r="H176" s="8" t="inlineStr">
        <is>
          <t>DCMD</t>
        </is>
      </c>
      <c r="I176" s="15" t="n">
        <v>46508</v>
      </c>
      <c r="J176" s="41">
        <f>EOMONTH(I176,0)-F176</f>
        <v>-15</v>
      </c>
      <c r="K176" s="8" t="inlineStr">
        <is>
          <t>A iniciar</t>
        </is>
      </c>
    </row>
    <row r="177">
      <c r="A177" s="7" t="inlineStr">
        <is>
          <t>5.2.9</t>
        </is>
      </c>
      <c r="B177" s="35" t="inlineStr">
        <is>
          <t xml:space="preserve">   Encerramento Técnico</t>
        </is>
      </c>
      <c r="C177" s="8" t="inlineStr">
        <is>
          <t>Sul</t>
        </is>
      </c>
      <c r="D177" s="8" t="n">
        <v>91979</v>
      </c>
      <c r="E177" s="10" t="n">
        <v>7</v>
      </c>
      <c r="F177" s="9">
        <f>G176+1</f>
        <v>46554</v>
      </c>
      <c r="G177" s="9">
        <f>F177+E177</f>
        <v>46561</v>
      </c>
      <c r="H177" s="8" t="inlineStr">
        <is>
          <t>DCMD</t>
        </is>
      </c>
      <c r="I177" s="9" t="n"/>
      <c r="J177" s="8" t="n"/>
      <c r="K177" s="8" t="inlineStr">
        <is>
          <t>A iniciar</t>
        </is>
      </c>
    </row>
    <row r="178">
      <c r="A178" s="7" t="inlineStr">
        <is>
          <t>5.2.10</t>
        </is>
      </c>
      <c r="B178" s="35" t="inlineStr">
        <is>
          <t xml:space="preserve">   Encerramento Contábil</t>
        </is>
      </c>
      <c r="C178" s="8" t="inlineStr">
        <is>
          <t>Sul</t>
        </is>
      </c>
      <c r="D178" s="8" t="n">
        <v>91979</v>
      </c>
      <c r="E178" s="10" t="n">
        <v>3</v>
      </c>
      <c r="F178" s="9">
        <f>G177+1</f>
        <v>46562</v>
      </c>
      <c r="G178" s="9">
        <f>F178+E178</f>
        <v>46565</v>
      </c>
      <c r="H178" s="8" t="inlineStr">
        <is>
          <t>DCMD / Contábil</t>
        </is>
      </c>
      <c r="I178" s="9" t="n"/>
      <c r="J178" s="8" t="n"/>
      <c r="K178" s="8" t="inlineStr">
        <is>
          <t>A iniciar</t>
        </is>
      </c>
    </row>
    <row r="179">
      <c r="A179" s="4" t="inlineStr">
        <is>
          <t>5.3</t>
        </is>
      </c>
      <c r="B179" s="40" t="inlineStr">
        <is>
          <t>BLOCO 13 - 1 de Figueirópolis - Instalação de 1 RT 13,8 kV e remanejamento de 1 RL (89307)</t>
        </is>
      </c>
      <c r="C179" s="5" t="inlineStr">
        <is>
          <t>Sul</t>
        </is>
      </c>
      <c r="D179" s="5" t="n">
        <v>89307</v>
      </c>
      <c r="E179" s="5">
        <f>G179-F179</f>
        <v>82</v>
      </c>
      <c r="F179" s="6">
        <f>MIN(F180:F189)</f>
        <v>46542</v>
      </c>
      <c r="G179" s="6">
        <f>MAX(G180:G189)</f>
        <v>46624</v>
      </c>
      <c r="H179" s="5" t="inlineStr">
        <is>
          <t>GP</t>
        </is>
      </c>
      <c r="I179" s="6" t="n"/>
      <c r="J179" s="5" t="n"/>
      <c r="K179" s="5" t="inlineStr">
        <is>
          <t>A iniciar</t>
        </is>
      </c>
    </row>
    <row r="180">
      <c r="A180" s="7" t="inlineStr">
        <is>
          <t>5.3.1</t>
        </is>
      </c>
      <c r="B180" s="35" t="inlineStr">
        <is>
          <t xml:space="preserve">   Executar Obras</t>
        </is>
      </c>
      <c r="C180" s="8" t="inlineStr">
        <is>
          <t>Sul</t>
        </is>
      </c>
      <c r="D180" s="8" t="n">
        <v>89307</v>
      </c>
      <c r="E180" s="10" t="n">
        <v>30</v>
      </c>
      <c r="F180" s="9">
        <f>G180-E180</f>
        <v>46542</v>
      </c>
      <c r="G180" s="9">
        <f>F182-1</f>
        <v>46572</v>
      </c>
      <c r="H180" s="8" t="inlineStr">
        <is>
          <t>EPS / Supervisor</t>
        </is>
      </c>
      <c r="I180" s="9" t="n"/>
      <c r="J180" s="8" t="n"/>
      <c r="K180" s="8" t="inlineStr">
        <is>
          <t>A iniciar</t>
        </is>
      </c>
    </row>
    <row r="181">
      <c r="A181" s="7" t="inlineStr">
        <is>
          <t>5.3.2</t>
        </is>
      </c>
      <c r="B181" s="38" t="inlineStr">
        <is>
          <t xml:space="preserve">   Obras Concluídas</t>
        </is>
      </c>
      <c r="C181" s="8" t="inlineStr">
        <is>
          <t>Sul</t>
        </is>
      </c>
      <c r="D181" s="8" t="n">
        <v>89307</v>
      </c>
      <c r="E181" s="10" t="n">
        <v>0</v>
      </c>
      <c r="F181" s="9">
        <f>G180</f>
        <v>46572</v>
      </c>
      <c r="G181" s="9">
        <f>G180</f>
        <v>46572</v>
      </c>
      <c r="H181" s="8" t="inlineStr">
        <is>
          <t>EPS</t>
        </is>
      </c>
      <c r="I181" s="9" t="n"/>
      <c r="J181" s="8" t="n"/>
      <c r="K181" s="8" t="inlineStr">
        <is>
          <t>A iniciar</t>
        </is>
      </c>
    </row>
    <row r="182">
      <c r="A182" s="7" t="inlineStr">
        <is>
          <t>5.3.3</t>
        </is>
      </c>
      <c r="B182" s="35" t="inlineStr">
        <is>
          <t xml:space="preserve">   Fiscalização</t>
        </is>
      </c>
      <c r="C182" s="8" t="inlineStr">
        <is>
          <t>Sul</t>
        </is>
      </c>
      <c r="D182" s="8" t="n">
        <v>89307</v>
      </c>
      <c r="E182" s="10" t="n">
        <v>12</v>
      </c>
      <c r="F182" s="9">
        <f>G182-E182</f>
        <v>46573</v>
      </c>
      <c r="G182" s="9">
        <f>F183-1</f>
        <v>46585</v>
      </c>
      <c r="H182" s="8" t="inlineStr">
        <is>
          <t>Fiscalização DCMD</t>
        </is>
      </c>
      <c r="I182" s="9" t="n"/>
      <c r="J182" s="8" t="n"/>
      <c r="K182" s="8" t="inlineStr">
        <is>
          <t>A iniciar</t>
        </is>
      </c>
    </row>
    <row r="183">
      <c r="A183" s="7" t="inlineStr">
        <is>
          <t>5.3.4</t>
        </is>
      </c>
      <c r="B183" s="35" t="inlineStr">
        <is>
          <t xml:space="preserve">   Cadastro EO / Integração parcial</t>
        </is>
      </c>
      <c r="C183" s="8" t="inlineStr">
        <is>
          <t>Sul</t>
        </is>
      </c>
      <c r="D183" s="8" t="n">
        <v>89307</v>
      </c>
      <c r="E183" s="10" t="n">
        <v>10</v>
      </c>
      <c r="F183" s="9">
        <f>G183-E183</f>
        <v>46586</v>
      </c>
      <c r="G183" s="9">
        <f>F186-1</f>
        <v>46596</v>
      </c>
      <c r="H183" s="8" t="inlineStr">
        <is>
          <t>Cadastro EO/TS</t>
        </is>
      </c>
      <c r="I183" s="9" t="n"/>
      <c r="J183" s="8" t="n"/>
      <c r="K183" s="8" t="inlineStr">
        <is>
          <t>A iniciar</t>
        </is>
      </c>
    </row>
    <row r="184" ht="23.25" customHeight="1">
      <c r="A184" s="7" t="inlineStr">
        <is>
          <t>5.3.5</t>
        </is>
      </c>
      <c r="B184" s="35" t="inlineStr">
        <is>
          <t xml:space="preserve">   Entrega do TCI pela empreiteira / Integração final</t>
        </is>
      </c>
      <c r="C184" s="8" t="inlineStr">
        <is>
          <t>Sul</t>
        </is>
      </c>
      <c r="D184" s="8" t="n">
        <v>89307</v>
      </c>
      <c r="E184" s="10" t="n">
        <v>15</v>
      </c>
      <c r="F184" s="9">
        <f>F186</f>
        <v>46597</v>
      </c>
      <c r="G184" s="9">
        <f>F184+E184</f>
        <v>46612</v>
      </c>
      <c r="H184" s="8" t="inlineStr">
        <is>
          <t>EPS</t>
        </is>
      </c>
      <c r="I184" s="9" t="n"/>
      <c r="J184" s="8" t="n"/>
      <c r="K184" s="8" t="inlineStr">
        <is>
          <t>A iniciar</t>
        </is>
      </c>
    </row>
    <row r="185" ht="57" customHeight="1">
      <c r="A185" s="7" t="inlineStr">
        <is>
          <t>5.3.6</t>
        </is>
      </c>
      <c r="B185" s="35" t="inlineStr">
        <is>
          <t xml:space="preserve">   Abertura de chamado / Atendimento GAT</t>
        </is>
      </c>
      <c r="C185" s="8" t="inlineStr">
        <is>
          <t>Sul</t>
        </is>
      </c>
      <c r="D185" s="8" t="n">
        <v>89307</v>
      </c>
      <c r="E185" s="10" t="n">
        <v>8</v>
      </c>
      <c r="F185" s="9">
        <f>F186</f>
        <v>46597</v>
      </c>
      <c r="G185" s="9">
        <f>F185+E185</f>
        <v>46605</v>
      </c>
      <c r="H185" s="8" t="inlineStr">
        <is>
          <t>GAT</t>
        </is>
      </c>
      <c r="I185" s="9" t="n"/>
      <c r="J185" s="8" t="n"/>
      <c r="K185" s="8" t="inlineStr">
        <is>
          <t>A iniciar</t>
        </is>
      </c>
    </row>
    <row r="186" ht="34.5" customHeight="1">
      <c r="A186" s="7" t="inlineStr">
        <is>
          <t>5.3.7</t>
        </is>
      </c>
      <c r="B186" s="35" t="inlineStr">
        <is>
          <t xml:space="preserve">   Comissionar Equipamentos</t>
        </is>
      </c>
      <c r="C186" s="8" t="inlineStr">
        <is>
          <t>Sul</t>
        </is>
      </c>
      <c r="D186" s="8" t="n">
        <v>89307</v>
      </c>
      <c r="E186" s="10" t="n">
        <v>15</v>
      </c>
      <c r="F186" s="9">
        <f>G186-E186</f>
        <v>46597</v>
      </c>
      <c r="G186" s="9">
        <f>F187</f>
        <v>46612</v>
      </c>
      <c r="H186" s="8" t="inlineStr">
        <is>
          <t>DMSL / DEOP</t>
        </is>
      </c>
      <c r="I186" s="9" t="n"/>
      <c r="J186" s="8" t="n"/>
      <c r="K186" s="8" t="inlineStr">
        <is>
          <t>A iniciar</t>
        </is>
      </c>
    </row>
    <row r="187">
      <c r="A187" s="7" t="inlineStr">
        <is>
          <t>5.3.8</t>
        </is>
      </c>
      <c r="B187" s="36" t="inlineStr">
        <is>
          <t xml:space="preserve">   Equipamentos em Operação</t>
        </is>
      </c>
      <c r="C187" s="8" t="inlineStr">
        <is>
          <t>Sul</t>
        </is>
      </c>
      <c r="D187" s="8" t="n">
        <v>89307</v>
      </c>
      <c r="E187" s="10" t="n">
        <v>0</v>
      </c>
      <c r="F187" s="11" t="n">
        <v>46612</v>
      </c>
      <c r="G187" s="9">
        <f>F187</f>
        <v>46612</v>
      </c>
      <c r="H187" s="8" t="inlineStr">
        <is>
          <t>DCMD</t>
        </is>
      </c>
      <c r="I187" s="15" t="n">
        <v>46600</v>
      </c>
      <c r="J187" s="41">
        <f>EOMONTH(I187,0)-F187</f>
        <v>18</v>
      </c>
      <c r="K187" s="8" t="inlineStr">
        <is>
          <t>A iniciar</t>
        </is>
      </c>
    </row>
    <row r="188">
      <c r="A188" s="7" t="inlineStr">
        <is>
          <t>5.3.9</t>
        </is>
      </c>
      <c r="B188" s="35" t="inlineStr">
        <is>
          <t xml:space="preserve">   Encerramento Técnico</t>
        </is>
      </c>
      <c r="C188" s="8" t="inlineStr">
        <is>
          <t>Sul</t>
        </is>
      </c>
      <c r="D188" s="8" t="n">
        <v>89307</v>
      </c>
      <c r="E188" s="10" t="n">
        <v>7</v>
      </c>
      <c r="F188" s="9">
        <f>G187+1</f>
        <v>46613</v>
      </c>
      <c r="G188" s="9">
        <f>F188+E188</f>
        <v>46620</v>
      </c>
      <c r="H188" s="8" t="inlineStr">
        <is>
          <t>DCMD</t>
        </is>
      </c>
      <c r="I188" s="9" t="n"/>
      <c r="J188" s="8" t="n"/>
      <c r="K188" s="8" t="inlineStr">
        <is>
          <t>A iniciar</t>
        </is>
      </c>
    </row>
    <row r="189">
      <c r="A189" s="7" t="inlineStr">
        <is>
          <t>5.3.10</t>
        </is>
      </c>
      <c r="B189" s="35" t="inlineStr">
        <is>
          <t xml:space="preserve">   Encerramento Contábil</t>
        </is>
      </c>
      <c r="C189" s="8" t="inlineStr">
        <is>
          <t>Sul</t>
        </is>
      </c>
      <c r="D189" s="8" t="n">
        <v>89307</v>
      </c>
      <c r="E189" s="10" t="n">
        <v>3</v>
      </c>
      <c r="F189" s="9">
        <f>G188+1</f>
        <v>46621</v>
      </c>
      <c r="G189" s="9">
        <f>F189+E189</f>
        <v>46624</v>
      </c>
      <c r="H189" s="8" t="inlineStr">
        <is>
          <t>DCMD / Contábil</t>
        </is>
      </c>
      <c r="I189" s="9" t="n"/>
      <c r="J189" s="8" t="n"/>
      <c r="K189" s="8" t="inlineStr">
        <is>
          <t>A iniciar</t>
        </is>
      </c>
    </row>
    <row r="190"/>
    <row r="191">
      <c r="B191" s="39" t="inlineStr">
        <is>
          <t>Legenda: azul = entrada (duração, data de início do planejamento, data-alvo de operação); preto = fórmula.</t>
        </is>
      </c>
    </row>
    <row r="192">
      <c r="B192" s="39" t="inlineStr">
        <is>
          <t>Durações dos blocos = padrão de instalação de equipamentos especiais da KOM/PRM 2026 (Obras Distribuição Regionais): Executar 30 d (45 d para bloco com 4 ou mais RL), Fiscalização 12, Cadastro EO 10, TCI 15, GAT 8, Comissionamento 15, Enc. Técnico 7, Enc. Contábil 3.</t>
        </is>
      </c>
    </row>
    <row r="193">
      <c r="B193" s="39" t="inlineStr">
        <is>
          <t>Programação regressiva: data-alvo de operação dentro do mês de energização necessária (TM/Cadastro CAPEX). A coluna J mostra a folga até o último dia desse mês.</t>
        </is>
      </c>
    </row>
  </sheetData>
  <autoFilter ref="A4:K182"/>
  <conditionalFormatting sqref="J22:J193">
    <cfRule type="cellIs" priority="1" operator="lessThan" dxfId="0">
      <formula>0</formula>
    </cfRule>
  </conditionalFormatting>
  <dataValidations count="1">
    <dataValidation sqref="K5:K10 K12:K182" showDropDown="0" showInputMessage="0" showErrorMessage="0" allowBlank="1" type="list">
      <formula1>"A iniciar,Em andamento,Concluído,Atrasado"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U16" sqref="U16"/>
    </sheetView>
  </sheetViews>
  <sheetFormatPr baseColWidth="8" defaultColWidth="8.7109375" defaultRowHeight="15"/>
  <cols>
    <col width="8" customWidth="1" min="1" max="1"/>
    <col width="58" customWidth="1" min="2" max="2"/>
    <col width="9" customWidth="1" min="3" max="3"/>
    <col width="15" customWidth="1" min="4" max="5"/>
    <col width="11" customWidth="1" min="6" max="7"/>
    <col width="6" customWidth="1" min="8" max="8"/>
    <col width="10" customWidth="1" min="9" max="20"/>
    <col width="14" customWidth="1" min="21" max="21"/>
    <col width="7" customWidth="1" min="22" max="22"/>
  </cols>
  <sheetData>
    <row r="1" ht="16.5" customHeight="1">
      <c r="A1" s="1" t="inlineStr">
        <is>
          <t>Curva orçamentária 2027 – por SIGCO (R$)</t>
        </is>
      </c>
    </row>
    <row r="2">
      <c r="A2" s="2" t="inlineStr">
        <is>
          <t>Orçamento base 08.10 (Cadastro CAPEX 2027-2029). Distribuição em dias corridos entre o início de 'Executar Obras' e o fim da 'Fiscalização' de cada SIGCO (datas vinculadas à aba WBS_Cronograma).</t>
        </is>
      </c>
    </row>
    <row r="3">
      <c r="H3" s="17" t="inlineStr">
        <is>
          <t>mês →</t>
        </is>
      </c>
      <c r="I3" s="18" t="n">
        <v>46388</v>
      </c>
      <c r="J3" s="18" t="n">
        <v>46419</v>
      </c>
      <c r="K3" s="18" t="n">
        <v>46447</v>
      </c>
      <c r="L3" s="18" t="n">
        <v>46478</v>
      </c>
      <c r="M3" s="18" t="n">
        <v>46508</v>
      </c>
      <c r="N3" s="18" t="n">
        <v>46539</v>
      </c>
      <c r="O3" s="18" t="n">
        <v>46569</v>
      </c>
      <c r="P3" s="18" t="n">
        <v>46600</v>
      </c>
      <c r="Q3" s="18" t="n">
        <v>46631</v>
      </c>
      <c r="R3" s="18" t="n">
        <v>46661</v>
      </c>
      <c r="S3" s="18" t="n">
        <v>46692</v>
      </c>
      <c r="T3" s="18" t="n">
        <v>46722</v>
      </c>
    </row>
    <row r="4" ht="30" customHeight="1">
      <c r="A4" s="3" t="inlineStr">
        <is>
          <t>SIGCO</t>
        </is>
      </c>
      <c r="B4" s="3" t="inlineStr">
        <is>
          <t>Projeto</t>
        </is>
      </c>
      <c r="C4" s="3" t="inlineStr">
        <is>
          <t>Regional</t>
        </is>
      </c>
      <c r="D4" s="3" t="inlineStr">
        <is>
          <t>Orçamento 08.10 (R$)</t>
        </is>
      </c>
      <c r="E4" s="3" t="inlineStr">
        <is>
          <t>Orçamento TM/ago (R$)</t>
        </is>
      </c>
      <c r="F4" s="3" t="inlineStr">
        <is>
          <t>Início janela</t>
        </is>
      </c>
      <c r="G4" s="3" t="inlineStr">
        <is>
          <t>Fim janela</t>
        </is>
      </c>
      <c r="H4" s="3" t="inlineStr">
        <is>
          <t>Dias</t>
        </is>
      </c>
      <c r="I4" s="3" t="inlineStr">
        <is>
          <t>Jan</t>
        </is>
      </c>
      <c r="J4" s="3" t="inlineStr">
        <is>
          <t>Fev</t>
        </is>
      </c>
      <c r="K4" s="3" t="inlineStr">
        <is>
          <t>Mar</t>
        </is>
      </c>
      <c r="L4" s="3" t="inlineStr">
        <is>
          <t>Abr</t>
        </is>
      </c>
      <c r="M4" s="3" t="inlineStr">
        <is>
          <t>Mai</t>
        </is>
      </c>
      <c r="N4" s="3" t="inlineStr">
        <is>
          <t>Jun</t>
        </is>
      </c>
      <c r="O4" s="3" t="inlineStr">
        <is>
          <t>Jul</t>
        </is>
      </c>
      <c r="P4" s="3" t="inlineStr">
        <is>
          <t>Ago</t>
        </is>
      </c>
      <c r="Q4" s="3" t="inlineStr">
        <is>
          <t>Set</t>
        </is>
      </c>
      <c r="R4" s="3" t="inlineStr">
        <is>
          <t>Out</t>
        </is>
      </c>
      <c r="S4" s="3" t="inlineStr">
        <is>
          <t>Nov</t>
        </is>
      </c>
      <c r="T4" s="3" t="inlineStr">
        <is>
          <t>Dez</t>
        </is>
      </c>
      <c r="U4" s="3" t="inlineStr">
        <is>
          <t>Total</t>
        </is>
      </c>
      <c r="V4" s="3" t="inlineStr">
        <is>
          <t>Check</t>
        </is>
      </c>
    </row>
    <row r="5">
      <c r="A5" s="7" t="n">
        <v>92118</v>
      </c>
      <c r="B5" s="7" t="inlineStr">
        <is>
          <t>Estudo de QS - 4 de Araguaína IV</t>
        </is>
      </c>
      <c r="C5" s="7" t="inlineStr">
        <is>
          <t>Norte</t>
        </is>
      </c>
      <c r="D5" s="19" t="n">
        <v>110736.26</v>
      </c>
      <c r="E5" s="19" t="n">
        <v>121831.5199</v>
      </c>
      <c r="F5" s="20">
        <f>MIN(WBS_Cronograma!F24)</f>
        <v>46483</v>
      </c>
      <c r="G5" s="20">
        <f>MAX(WBS_Cronograma!G26)</f>
        <v>46526</v>
      </c>
      <c r="H5" s="7">
        <f>G5-F5+1</f>
        <v>44</v>
      </c>
      <c r="I5" s="21">
        <f>$D5*MAX(0,MIN($G5,EOMONTH(I$3,0))-MAX($F5,I$3)+1)/$H5</f>
        <v>0</v>
      </c>
      <c r="J5" s="21">
        <f>$D5*MAX(0,MIN($G5,EOMONTH(J$3,0))-MAX($F5,J$3)+1)/$H5</f>
        <v>0</v>
      </c>
      <c r="K5" s="21">
        <f>$D5*MAX(0,MIN($G5,EOMONTH(K$3,0))-MAX($F5,K$3)+1)/$H5</f>
        <v>0</v>
      </c>
      <c r="L5" s="21">
        <f>$D5*MAX(0,MIN($G5,EOMONTH(L$3,0))-MAX($F5,L$3)+1)/$H5</f>
        <v>62918.3295454545</v>
      </c>
      <c r="M5" s="21">
        <f>$D5*MAX(0,MIN($G5,EOMONTH(M$3,0))-MAX($F5,M$3)+1)/$H5</f>
        <v>47817.9304545455</v>
      </c>
      <c r="N5" s="21">
        <f>$D5*MAX(0,MIN($G5,EOMONTH(N$3,0))-MAX($F5,N$3)+1)/$H5</f>
        <v>0</v>
      </c>
      <c r="O5" s="21">
        <f>$D5*MAX(0,MIN($G5,EOMONTH(O$3,0))-MAX($F5,O$3)+1)/$H5</f>
        <v>0</v>
      </c>
      <c r="P5" s="21">
        <f>$D5*MAX(0,MIN($G5,EOMONTH(P$3,0))-MAX($F5,P$3)+1)/$H5</f>
        <v>0</v>
      </c>
      <c r="Q5" s="21">
        <f>$D5*MAX(0,MIN($G5,EOMONTH(Q$3,0))-MAX($F5,Q$3)+1)/$H5</f>
        <v>0</v>
      </c>
      <c r="R5" s="21">
        <f>$D5*MAX(0,MIN($G5,EOMONTH(R$3,0))-MAX($F5,R$3)+1)/$H5</f>
        <v>0</v>
      </c>
      <c r="S5" s="21">
        <f>$D5*MAX(0,MIN($G5,EOMONTH(S$3,0))-MAX($F5,S$3)+1)/$H5</f>
        <v>0</v>
      </c>
      <c r="T5" s="21">
        <f>$D5*MAX(0,MIN($G5,EOMONTH(T$3,0))-MAX($F5,T$3)+1)/$H5</f>
        <v>0</v>
      </c>
      <c r="U5" s="22">
        <f>SUM(I5:T5)</f>
        <v>110736.26</v>
      </c>
      <c r="V5" s="8" t="str">
        <f>IF(ABS(U5-D5)&lt;0.01,"OK","ERRO")</f>
        <v>OK</v>
      </c>
    </row>
    <row r="6">
      <c r="A6" s="7" t="n">
        <v>89267</v>
      </c>
      <c r="B6" s="7" t="inlineStr">
        <is>
          <t>Instalação de RT - LD Xambioá II - Araguanã - 2XB2 - QP</t>
        </is>
      </c>
      <c r="C6" s="7" t="inlineStr">
        <is>
          <t>Norte</t>
        </is>
      </c>
      <c r="D6" s="19" t="n">
        <v>802322.3320000001</v>
      </c>
      <c r="E6" s="19" t="n">
        <v>1083084.5918</v>
      </c>
      <c r="F6" s="20">
        <f>MIN(WBS_Cronograma!F35)</f>
        <v>46483</v>
      </c>
      <c r="G6" s="20">
        <f>MAX(WBS_Cronograma!G37)</f>
        <v>46526</v>
      </c>
      <c r="H6" s="7">
        <f>G6-F6+1</f>
        <v>44</v>
      </c>
      <c r="I6" s="21">
        <f>$D6*MAX(0,MIN($G6,EOMONTH(I$3,0))-MAX($F6,I$3)+1)/$H6</f>
        <v>0</v>
      </c>
      <c r="J6" s="21">
        <f>$D6*MAX(0,MIN($G6,EOMONTH(J$3,0))-MAX($F6,J$3)+1)/$H6</f>
        <v>0</v>
      </c>
      <c r="K6" s="21">
        <f>$D6*MAX(0,MIN($G6,EOMONTH(K$3,0))-MAX($F6,K$3)+1)/$H6</f>
        <v>0</v>
      </c>
      <c r="L6" s="21">
        <f>$D6*MAX(0,MIN($G6,EOMONTH(L$3,0))-MAX($F6,L$3)+1)/$H6</f>
        <v>455864.961363636</v>
      </c>
      <c r="M6" s="21">
        <f>$D6*MAX(0,MIN($G6,EOMONTH(M$3,0))-MAX($F6,M$3)+1)/$H6</f>
        <v>346457.370636364</v>
      </c>
      <c r="N6" s="21">
        <f>$D6*MAX(0,MIN($G6,EOMONTH(N$3,0))-MAX($F6,N$3)+1)/$H6</f>
        <v>0</v>
      </c>
      <c r="O6" s="21">
        <f>$D6*MAX(0,MIN($G6,EOMONTH(O$3,0))-MAX($F6,O$3)+1)/$H6</f>
        <v>0</v>
      </c>
      <c r="P6" s="21">
        <f>$D6*MAX(0,MIN($G6,EOMONTH(P$3,0))-MAX($F6,P$3)+1)/$H6</f>
        <v>0</v>
      </c>
      <c r="Q6" s="21">
        <f>$D6*MAX(0,MIN($G6,EOMONTH(Q$3,0))-MAX($F6,Q$3)+1)/$H6</f>
        <v>0</v>
      </c>
      <c r="R6" s="21">
        <f>$D6*MAX(0,MIN($G6,EOMONTH(R$3,0))-MAX($F6,R$3)+1)/$H6</f>
        <v>0</v>
      </c>
      <c r="S6" s="21">
        <f>$D6*MAX(0,MIN($G6,EOMONTH(S$3,0))-MAX($F6,S$3)+1)/$H6</f>
        <v>0</v>
      </c>
      <c r="T6" s="21">
        <f>$D6*MAX(0,MIN($G6,EOMONTH(T$3,0))-MAX($F6,T$3)+1)/$H6</f>
        <v>0</v>
      </c>
      <c r="U6" s="22">
        <f>SUM(I6:T6)</f>
        <v>802322.332</v>
      </c>
      <c r="V6" s="8" t="str">
        <f>IF(ABS(U6-D6)&lt;0.01,"OK","ERRO")</f>
        <v>OK</v>
      </c>
    </row>
    <row r="7">
      <c r="A7" s="7" t="n">
        <v>89249</v>
      </c>
      <c r="B7" s="7" t="inlineStr">
        <is>
          <t>Instalação de RT - LD Araguaína - Babaçulândia - 2AR0 - QP</t>
        </is>
      </c>
      <c r="C7" s="7" t="inlineStr">
        <is>
          <t>Norte</t>
        </is>
      </c>
      <c r="D7" s="19" t="n">
        <v>399614.39</v>
      </c>
      <c r="E7" s="19" t="n">
        <v>539995.5199</v>
      </c>
      <c r="F7" s="20">
        <f>MIN(WBS_Cronograma!F46)</f>
        <v>46549</v>
      </c>
      <c r="G7" s="20">
        <f>MAX(WBS_Cronograma!G48)</f>
        <v>46592</v>
      </c>
      <c r="H7" s="7">
        <f>G7-F7+1</f>
        <v>44</v>
      </c>
      <c r="I7" s="21">
        <f>$D7*MAX(0,MIN($G7,EOMONTH(I$3,0))-MAX($F7,I$3)+1)/$H7</f>
        <v>0</v>
      </c>
      <c r="J7" s="21">
        <f>$D7*MAX(0,MIN($G7,EOMONTH(J$3,0))-MAX($F7,J$3)+1)/$H7</f>
        <v>0</v>
      </c>
      <c r="K7" s="21">
        <f>$D7*MAX(0,MIN($G7,EOMONTH(K$3,0))-MAX($F7,K$3)+1)/$H7</f>
        <v>0</v>
      </c>
      <c r="L7" s="21">
        <f>$D7*MAX(0,MIN($G7,EOMONTH(L$3,0))-MAX($F7,L$3)+1)/$H7</f>
        <v>0</v>
      </c>
      <c r="M7" s="21">
        <f>$D7*MAX(0,MIN($G7,EOMONTH(M$3,0))-MAX($F7,M$3)+1)/$H7</f>
        <v>0</v>
      </c>
      <c r="N7" s="21">
        <f>$D7*MAX(0,MIN($G7,EOMONTH(N$3,0))-MAX($F7,N$3)+1)/$H7</f>
        <v>181642.904545455</v>
      </c>
      <c r="O7" s="21">
        <f>$D7*MAX(0,MIN($G7,EOMONTH(O$3,0))-MAX($F7,O$3)+1)/$H7</f>
        <v>217971.485454545</v>
      </c>
      <c r="P7" s="21">
        <f>$D7*MAX(0,MIN($G7,EOMONTH(P$3,0))-MAX($F7,P$3)+1)/$H7</f>
        <v>0</v>
      </c>
      <c r="Q7" s="21">
        <f>$D7*MAX(0,MIN($G7,EOMONTH(Q$3,0))-MAX($F7,Q$3)+1)/$H7</f>
        <v>0</v>
      </c>
      <c r="R7" s="21">
        <f>$D7*MAX(0,MIN($G7,EOMONTH(R$3,0))-MAX($F7,R$3)+1)/$H7</f>
        <v>0</v>
      </c>
      <c r="S7" s="21">
        <f>$D7*MAX(0,MIN($G7,EOMONTH(S$3,0))-MAX($F7,S$3)+1)/$H7</f>
        <v>0</v>
      </c>
      <c r="T7" s="21">
        <f>$D7*MAX(0,MIN($G7,EOMONTH(T$3,0))-MAX($F7,T$3)+1)/$H7</f>
        <v>0</v>
      </c>
      <c r="U7" s="22">
        <f>SUM(I7:T7)</f>
        <v>399614.39</v>
      </c>
      <c r="V7" s="8" t="str">
        <f>IF(ABS(U7-D7)&lt;0.01,"OK","ERRO")</f>
        <v>OK</v>
      </c>
    </row>
    <row r="8">
      <c r="A8" s="7" t="n">
        <v>90811</v>
      </c>
      <c r="B8" s="7" t="inlineStr">
        <is>
          <t>Instalação de RL e RT - LD UHE Isamu - Ponte Alta - 1UI1 - QP</t>
        </is>
      </c>
      <c r="C8" s="7" t="inlineStr">
        <is>
          <t>Centro</t>
        </is>
      </c>
      <c r="D8" s="19" t="n">
        <v>1801604.82</v>
      </c>
      <c r="E8" s="19" t="n">
        <v>1627896.9854</v>
      </c>
      <c r="F8" s="20">
        <f>MIN(WBS_Cronograma!F69,WBS_Cronograma!F80)</f>
        <v>46483</v>
      </c>
      <c r="G8" s="20">
        <f>MAX(WBS_Cronograma!G71,WBS_Cronograma!G82)</f>
        <v>46541</v>
      </c>
      <c r="H8" s="7">
        <f>G8-F8+1</f>
        <v>59</v>
      </c>
      <c r="I8" s="21">
        <f>$D8*MAX(0,MIN($G8,EOMONTH(I$3,0))-MAX($F8,I$3)+1)/$H8</f>
        <v>0</v>
      </c>
      <c r="J8" s="21">
        <f>$D8*MAX(0,MIN($G8,EOMONTH(J$3,0))-MAX($F8,J$3)+1)/$H8</f>
        <v>0</v>
      </c>
      <c r="K8" s="21">
        <f>$D8*MAX(0,MIN($G8,EOMONTH(K$3,0))-MAX($F8,K$3)+1)/$H8</f>
        <v>0</v>
      </c>
      <c r="L8" s="21">
        <f>$D8*MAX(0,MIN($G8,EOMONTH(L$3,0))-MAX($F8,L$3)+1)/$H8</f>
        <v>763391.872881356</v>
      </c>
      <c r="M8" s="21">
        <f>$D8*MAX(0,MIN($G8,EOMONTH(M$3,0))-MAX($F8,M$3)+1)/$H8</f>
        <v>946605.922372881</v>
      </c>
      <c r="N8" s="21">
        <f>$D8*MAX(0,MIN($G8,EOMONTH(N$3,0))-MAX($F8,N$3)+1)/$H8</f>
        <v>91607.0247457627</v>
      </c>
      <c r="O8" s="21">
        <f>$D8*MAX(0,MIN($G8,EOMONTH(O$3,0))-MAX($F8,O$3)+1)/$H8</f>
        <v>0</v>
      </c>
      <c r="P8" s="21">
        <f>$D8*MAX(0,MIN($G8,EOMONTH(P$3,0))-MAX($F8,P$3)+1)/$H8</f>
        <v>0</v>
      </c>
      <c r="Q8" s="21">
        <f>$D8*MAX(0,MIN($G8,EOMONTH(Q$3,0))-MAX($F8,Q$3)+1)/$H8</f>
        <v>0</v>
      </c>
      <c r="R8" s="21">
        <f>$D8*MAX(0,MIN($G8,EOMONTH(R$3,0))-MAX($F8,R$3)+1)/$H8</f>
        <v>0</v>
      </c>
      <c r="S8" s="21">
        <f>$D8*MAX(0,MIN($G8,EOMONTH(S$3,0))-MAX($F8,S$3)+1)/$H8</f>
        <v>0</v>
      </c>
      <c r="T8" s="21">
        <f>$D8*MAX(0,MIN($G8,EOMONTH(T$3,0))-MAX($F8,T$3)+1)/$H8</f>
        <v>0</v>
      </c>
      <c r="U8" s="22">
        <f>SUM(I8:T8)</f>
        <v>1801604.82</v>
      </c>
      <c r="V8" s="8" t="str">
        <f>IF(ABS(U8-D8)&lt;0.01,"OK","ERRO")</f>
        <v>OK</v>
      </c>
    </row>
    <row r="9">
      <c r="A9" s="7" t="n">
        <v>92095</v>
      </c>
      <c r="B9" s="7" t="inlineStr">
        <is>
          <t>Estudo de QS - LD Palmas - Lajeado</t>
        </is>
      </c>
      <c r="C9" s="7" t="inlineStr">
        <is>
          <t>Centro</t>
        </is>
      </c>
      <c r="D9" s="19" t="n">
        <v>130250.01</v>
      </c>
      <c r="E9" s="19" t="n">
        <v>168438.8599</v>
      </c>
      <c r="F9" s="20">
        <f>MIN(WBS_Cronograma!F91)</f>
        <v>46483</v>
      </c>
      <c r="G9" s="20">
        <f>MAX(WBS_Cronograma!G93)</f>
        <v>46526</v>
      </c>
      <c r="H9" s="7">
        <f>G9-F9+1</f>
        <v>44</v>
      </c>
      <c r="I9" s="21">
        <f>$D9*MAX(0,MIN($G9,EOMONTH(I$3,0))-MAX($F9,I$3)+1)/$H9</f>
        <v>0</v>
      </c>
      <c r="J9" s="21">
        <f>$D9*MAX(0,MIN($G9,EOMONTH(J$3,0))-MAX($F9,J$3)+1)/$H9</f>
        <v>0</v>
      </c>
      <c r="K9" s="21">
        <f>$D9*MAX(0,MIN($G9,EOMONTH(K$3,0))-MAX($F9,K$3)+1)/$H9</f>
        <v>0</v>
      </c>
      <c r="L9" s="21">
        <f>$D9*MAX(0,MIN($G9,EOMONTH(L$3,0))-MAX($F9,L$3)+1)/$H9</f>
        <v>74005.6875</v>
      </c>
      <c r="M9" s="21">
        <f>$D9*MAX(0,MIN($G9,EOMONTH(M$3,0))-MAX($F9,M$3)+1)/$H9</f>
        <v>56244.3225</v>
      </c>
      <c r="N9" s="21">
        <f>$D9*MAX(0,MIN($G9,EOMONTH(N$3,0))-MAX($F9,N$3)+1)/$H9</f>
        <v>0</v>
      </c>
      <c r="O9" s="21">
        <f>$D9*MAX(0,MIN($G9,EOMONTH(O$3,0))-MAX($F9,O$3)+1)/$H9</f>
        <v>0</v>
      </c>
      <c r="P9" s="21">
        <f>$D9*MAX(0,MIN($G9,EOMONTH(P$3,0))-MAX($F9,P$3)+1)/$H9</f>
        <v>0</v>
      </c>
      <c r="Q9" s="21">
        <f>$D9*MAX(0,MIN($G9,EOMONTH(Q$3,0))-MAX($F9,Q$3)+1)/$H9</f>
        <v>0</v>
      </c>
      <c r="R9" s="21">
        <f>$D9*MAX(0,MIN($G9,EOMONTH(R$3,0))-MAX($F9,R$3)+1)/$H9</f>
        <v>0</v>
      </c>
      <c r="S9" s="21">
        <f>$D9*MAX(0,MIN($G9,EOMONTH(S$3,0))-MAX($F9,S$3)+1)/$H9</f>
        <v>0</v>
      </c>
      <c r="T9" s="21">
        <f>$D9*MAX(0,MIN($G9,EOMONTH(T$3,0))-MAX($F9,T$3)+1)/$H9</f>
        <v>0</v>
      </c>
      <c r="U9" s="22">
        <f>SUM(I9:T9)</f>
        <v>130250.01</v>
      </c>
      <c r="V9" s="8" t="str">
        <f>IF(ABS(U9-D9)&lt;0.01,"OK","ERRO")</f>
        <v>OK</v>
      </c>
    </row>
    <row r="10">
      <c r="A10" s="7" t="n">
        <v>92101</v>
      </c>
      <c r="B10" s="7" t="inlineStr">
        <is>
          <t>Estudo de QS - 8 de Palmas IV</t>
        </is>
      </c>
      <c r="C10" s="7" t="inlineStr">
        <is>
          <t>Centro</t>
        </is>
      </c>
      <c r="D10" s="19" t="n">
        <v>110736.26</v>
      </c>
      <c r="E10" s="19" t="n">
        <v>121831.5199</v>
      </c>
      <c r="F10" s="20">
        <f>MIN(WBS_Cronograma!F102)</f>
        <v>46483</v>
      </c>
      <c r="G10" s="20">
        <f>MAX(WBS_Cronograma!G104)</f>
        <v>46526</v>
      </c>
      <c r="H10" s="7">
        <f>G10-F10+1</f>
        <v>44</v>
      </c>
      <c r="I10" s="21">
        <f>$D10*MAX(0,MIN($G10,EOMONTH(I$3,0))-MAX($F10,I$3)+1)/$H10</f>
        <v>0</v>
      </c>
      <c r="J10" s="21">
        <f>$D10*MAX(0,MIN($G10,EOMONTH(J$3,0))-MAX($F10,J$3)+1)/$H10</f>
        <v>0</v>
      </c>
      <c r="K10" s="21">
        <f>$D10*MAX(0,MIN($G10,EOMONTH(K$3,0))-MAX($F10,K$3)+1)/$H10</f>
        <v>0</v>
      </c>
      <c r="L10" s="21">
        <f>$D10*MAX(0,MIN($G10,EOMONTH(L$3,0))-MAX($F10,L$3)+1)/$H10</f>
        <v>62918.3295454545</v>
      </c>
      <c r="M10" s="21">
        <f>$D10*MAX(0,MIN($G10,EOMONTH(M$3,0))-MAX($F10,M$3)+1)/$H10</f>
        <v>47817.9304545455</v>
      </c>
      <c r="N10" s="21">
        <f>$D10*MAX(0,MIN($G10,EOMONTH(N$3,0))-MAX($F10,N$3)+1)/$H10</f>
        <v>0</v>
      </c>
      <c r="O10" s="21">
        <f>$D10*MAX(0,MIN($G10,EOMONTH(O$3,0))-MAX($F10,O$3)+1)/$H10</f>
        <v>0</v>
      </c>
      <c r="P10" s="21">
        <f>$D10*MAX(0,MIN($G10,EOMONTH(P$3,0))-MAX($F10,P$3)+1)/$H10</f>
        <v>0</v>
      </c>
      <c r="Q10" s="21">
        <f>$D10*MAX(0,MIN($G10,EOMONTH(Q$3,0))-MAX($F10,Q$3)+1)/$H10</f>
        <v>0</v>
      </c>
      <c r="R10" s="21">
        <f>$D10*MAX(0,MIN($G10,EOMONTH(R$3,0))-MAX($F10,R$3)+1)/$H10</f>
        <v>0</v>
      </c>
      <c r="S10" s="21">
        <f>$D10*MAX(0,MIN($G10,EOMONTH(S$3,0))-MAX($F10,S$3)+1)/$H10</f>
        <v>0</v>
      </c>
      <c r="T10" s="21">
        <f>$D10*MAX(0,MIN($G10,EOMONTH(T$3,0))-MAX($F10,T$3)+1)/$H10</f>
        <v>0</v>
      </c>
      <c r="U10" s="22">
        <f>SUM(I10:T10)</f>
        <v>110736.26</v>
      </c>
      <c r="V10" s="8" t="str">
        <f>IF(ABS(U10-D10)&lt;0.01,"OK","ERRO")</f>
        <v>OK</v>
      </c>
    </row>
    <row r="11">
      <c r="A11" s="7" t="n">
        <v>70838</v>
      </c>
      <c r="B11" s="7" t="inlineStr">
        <is>
          <t>Instalação de RT - LD Cristalândia - Lagoa da Confusão</t>
        </is>
      </c>
      <c r="C11" s="7" t="inlineStr">
        <is>
          <t>Centro</t>
        </is>
      </c>
      <c r="D11" s="19" t="n">
        <v>399614.39</v>
      </c>
      <c r="E11" s="19" t="n">
        <v>539995.5199</v>
      </c>
      <c r="F11" s="20">
        <f>MIN(WBS_Cronograma!F113)</f>
        <v>46483</v>
      </c>
      <c r="G11" s="20">
        <f>MAX(WBS_Cronograma!G115)</f>
        <v>46526</v>
      </c>
      <c r="H11" s="7">
        <f>G11-F11+1</f>
        <v>44</v>
      </c>
      <c r="I11" s="21">
        <f>$D11*MAX(0,MIN($G11,EOMONTH(I$3,0))-MAX($F11,I$3)+1)/$H11</f>
        <v>0</v>
      </c>
      <c r="J11" s="21">
        <f>$D11*MAX(0,MIN($G11,EOMONTH(J$3,0))-MAX($F11,J$3)+1)/$H11</f>
        <v>0</v>
      </c>
      <c r="K11" s="21">
        <f>$D11*MAX(0,MIN($G11,EOMONTH(K$3,0))-MAX($F11,K$3)+1)/$H11</f>
        <v>0</v>
      </c>
      <c r="L11" s="21">
        <f>$D11*MAX(0,MIN($G11,EOMONTH(L$3,0))-MAX($F11,L$3)+1)/$H11</f>
        <v>227053.630681818</v>
      </c>
      <c r="M11" s="21">
        <f>$D11*MAX(0,MIN($G11,EOMONTH(M$3,0))-MAX($F11,M$3)+1)/$H11</f>
        <v>172560.759318182</v>
      </c>
      <c r="N11" s="21">
        <f>$D11*MAX(0,MIN($G11,EOMONTH(N$3,0))-MAX($F11,N$3)+1)/$H11</f>
        <v>0</v>
      </c>
      <c r="O11" s="21">
        <f>$D11*MAX(0,MIN($G11,EOMONTH(O$3,0))-MAX($F11,O$3)+1)/$H11</f>
        <v>0</v>
      </c>
      <c r="P11" s="21">
        <f>$D11*MAX(0,MIN($G11,EOMONTH(P$3,0))-MAX($F11,P$3)+1)/$H11</f>
        <v>0</v>
      </c>
      <c r="Q11" s="21">
        <f>$D11*MAX(0,MIN($G11,EOMONTH(Q$3,0))-MAX($F11,Q$3)+1)/$H11</f>
        <v>0</v>
      </c>
      <c r="R11" s="21">
        <f>$D11*MAX(0,MIN($G11,EOMONTH(R$3,0))-MAX($F11,R$3)+1)/$H11</f>
        <v>0</v>
      </c>
      <c r="S11" s="21">
        <f>$D11*MAX(0,MIN($G11,EOMONTH(S$3,0))-MAX($F11,S$3)+1)/$H11</f>
        <v>0</v>
      </c>
      <c r="T11" s="21">
        <f>$D11*MAX(0,MIN($G11,EOMONTH(T$3,0))-MAX($F11,T$3)+1)/$H11</f>
        <v>0</v>
      </c>
      <c r="U11" s="22">
        <f>SUM(I11:T11)</f>
        <v>399614.39</v>
      </c>
      <c r="V11" s="8" t="str">
        <f>IF(ABS(U11-D11)&lt;0.01,"OK","ERRO")</f>
        <v>OK</v>
      </c>
    </row>
    <row r="12">
      <c r="A12" s="7" t="n">
        <v>92102</v>
      </c>
      <c r="B12" s="7" t="inlineStr">
        <is>
          <t>Estudo de QS - 6 de Palmas IV</t>
        </is>
      </c>
      <c r="C12" s="7" t="inlineStr">
        <is>
          <t>Centro</t>
        </is>
      </c>
      <c r="D12" s="19" t="n">
        <v>110736.26</v>
      </c>
      <c r="E12" s="19" t="n">
        <v>121831.5199</v>
      </c>
      <c r="F12" s="20">
        <f>MIN(WBS_Cronograma!F124)</f>
        <v>46486</v>
      </c>
      <c r="G12" s="20">
        <f>MAX(WBS_Cronograma!G126)</f>
        <v>46529</v>
      </c>
      <c r="H12" s="7">
        <f>G12-F12+1</f>
        <v>44</v>
      </c>
      <c r="I12" s="21">
        <f>$D12*MAX(0,MIN($G12,EOMONTH(I$3,0))-MAX($F12,I$3)+1)/$H12</f>
        <v>0</v>
      </c>
      <c r="J12" s="21">
        <f>$D12*MAX(0,MIN($G12,EOMONTH(J$3,0))-MAX($F12,J$3)+1)/$H12</f>
        <v>0</v>
      </c>
      <c r="K12" s="21">
        <f>$D12*MAX(0,MIN($G12,EOMONTH(K$3,0))-MAX($F12,K$3)+1)/$H12</f>
        <v>0</v>
      </c>
      <c r="L12" s="21">
        <f>$D12*MAX(0,MIN($G12,EOMONTH(L$3,0))-MAX($F12,L$3)+1)/$H12</f>
        <v>55368.13</v>
      </c>
      <c r="M12" s="21">
        <f>$D12*MAX(0,MIN($G12,EOMONTH(M$3,0))-MAX($F12,M$3)+1)/$H12</f>
        <v>55368.13</v>
      </c>
      <c r="N12" s="21">
        <f>$D12*MAX(0,MIN($G12,EOMONTH(N$3,0))-MAX($F12,N$3)+1)/$H12</f>
        <v>0</v>
      </c>
      <c r="O12" s="21">
        <f>$D12*MAX(0,MIN($G12,EOMONTH(O$3,0))-MAX($F12,O$3)+1)/$H12</f>
        <v>0</v>
      </c>
      <c r="P12" s="21">
        <f>$D12*MAX(0,MIN($G12,EOMONTH(P$3,0))-MAX($F12,P$3)+1)/$H12</f>
        <v>0</v>
      </c>
      <c r="Q12" s="21">
        <f>$D12*MAX(0,MIN($G12,EOMONTH(Q$3,0))-MAX($F12,Q$3)+1)/$H12</f>
        <v>0</v>
      </c>
      <c r="R12" s="21">
        <f>$D12*MAX(0,MIN($G12,EOMONTH(R$3,0))-MAX($F12,R$3)+1)/$H12</f>
        <v>0</v>
      </c>
      <c r="S12" s="21">
        <f>$D12*MAX(0,MIN($G12,EOMONTH(S$3,0))-MAX($F12,S$3)+1)/$H12</f>
        <v>0</v>
      </c>
      <c r="T12" s="21">
        <f>$D12*MAX(0,MIN($G12,EOMONTH(T$3,0))-MAX($F12,T$3)+1)/$H12</f>
        <v>0</v>
      </c>
      <c r="U12" s="22">
        <f>SUM(I12:T12)</f>
        <v>110736.26</v>
      </c>
      <c r="V12" s="8" t="str">
        <f>IF(ABS(U12-D12)&lt;0.01,"OK","ERRO")</f>
        <v>OK</v>
      </c>
    </row>
    <row r="13">
      <c r="A13" s="7" t="n">
        <v>70978</v>
      </c>
      <c r="B13" s="7" t="inlineStr">
        <is>
          <t>Instalação de RT e Balanceamento de Fase - LD Paraíso I - Caseara - 2PR0 - QP</t>
        </is>
      </c>
      <c r="C13" s="7" t="inlineStr">
        <is>
          <t>Centro</t>
        </is>
      </c>
      <c r="D13" s="19" t="n">
        <v>399913.766</v>
      </c>
      <c r="E13" s="19" t="n">
        <v>540294.8959</v>
      </c>
      <c r="F13" s="20">
        <f>MIN(WBS_Cronograma!F135)</f>
        <v>46486</v>
      </c>
      <c r="G13" s="20">
        <f>MAX(WBS_Cronograma!G137)</f>
        <v>46529</v>
      </c>
      <c r="H13" s="7">
        <f>G13-F13+1</f>
        <v>44</v>
      </c>
      <c r="I13" s="21">
        <f>$D13*MAX(0,MIN($G13,EOMONTH(I$3,0))-MAX($F13,I$3)+1)/$H13</f>
        <v>0</v>
      </c>
      <c r="J13" s="21">
        <f>$D13*MAX(0,MIN($G13,EOMONTH(J$3,0))-MAX($F13,J$3)+1)/$H13</f>
        <v>0</v>
      </c>
      <c r="K13" s="21">
        <f>$D13*MAX(0,MIN($G13,EOMONTH(K$3,0))-MAX($F13,K$3)+1)/$H13</f>
        <v>0</v>
      </c>
      <c r="L13" s="21">
        <f>$D13*MAX(0,MIN($G13,EOMONTH(L$3,0))-MAX($F13,L$3)+1)/$H13</f>
        <v>199956.883</v>
      </c>
      <c r="M13" s="21">
        <f>$D13*MAX(0,MIN($G13,EOMONTH(M$3,0))-MAX($F13,M$3)+1)/$H13</f>
        <v>199956.883</v>
      </c>
      <c r="N13" s="21">
        <f>$D13*MAX(0,MIN($G13,EOMONTH(N$3,0))-MAX($F13,N$3)+1)/$H13</f>
        <v>0</v>
      </c>
      <c r="O13" s="21">
        <f>$D13*MAX(0,MIN($G13,EOMONTH(O$3,0))-MAX($F13,O$3)+1)/$H13</f>
        <v>0</v>
      </c>
      <c r="P13" s="21">
        <f>$D13*MAX(0,MIN($G13,EOMONTH(P$3,0))-MAX($F13,P$3)+1)/$H13</f>
        <v>0</v>
      </c>
      <c r="Q13" s="21">
        <f>$D13*MAX(0,MIN($G13,EOMONTH(Q$3,0))-MAX($F13,Q$3)+1)/$H13</f>
        <v>0</v>
      </c>
      <c r="R13" s="21">
        <f>$D13*MAX(0,MIN($G13,EOMONTH(R$3,0))-MAX($F13,R$3)+1)/$H13</f>
        <v>0</v>
      </c>
      <c r="S13" s="21">
        <f>$D13*MAX(0,MIN($G13,EOMONTH(S$3,0))-MAX($F13,S$3)+1)/$H13</f>
        <v>0</v>
      </c>
      <c r="T13" s="21">
        <f>$D13*MAX(0,MIN($G13,EOMONTH(T$3,0))-MAX($F13,T$3)+1)/$H13</f>
        <v>0</v>
      </c>
      <c r="U13" s="22">
        <f>SUM(I13:T13)</f>
        <v>399913.766</v>
      </c>
      <c r="V13" s="8" t="str">
        <f>IF(ABS(U13-D13)&lt;0.01,"OK","ERRO")</f>
        <v>OK</v>
      </c>
    </row>
    <row r="14">
      <c r="A14" s="7" t="n">
        <v>92094</v>
      </c>
      <c r="B14" s="7" t="inlineStr">
        <is>
          <t>Estudo de QS - LD Palmas - Aparecida do Rio Negro</t>
        </is>
      </c>
      <c r="C14" s="7" t="inlineStr">
        <is>
          <t>Centro</t>
        </is>
      </c>
      <c r="D14" s="19" t="n">
        <v>390750.03</v>
      </c>
      <c r="E14" s="19" t="n">
        <v>505316.5797</v>
      </c>
      <c r="F14" s="20">
        <f>MIN(WBS_Cronograma!F146)</f>
        <v>46493</v>
      </c>
      <c r="G14" s="20">
        <f>MAX(WBS_Cronograma!G148)</f>
        <v>46536</v>
      </c>
      <c r="H14" s="7">
        <f>G14-F14+1</f>
        <v>44</v>
      </c>
      <c r="I14" s="21">
        <f>$D14*MAX(0,MIN($G14,EOMONTH(I$3,0))-MAX($F14,I$3)+1)/$H14</f>
        <v>0</v>
      </c>
      <c r="J14" s="21">
        <f>$D14*MAX(0,MIN($G14,EOMONTH(J$3,0))-MAX($F14,J$3)+1)/$H14</f>
        <v>0</v>
      </c>
      <c r="K14" s="21">
        <f>$D14*MAX(0,MIN($G14,EOMONTH(K$3,0))-MAX($F14,K$3)+1)/$H14</f>
        <v>0</v>
      </c>
      <c r="L14" s="21">
        <f>$D14*MAX(0,MIN($G14,EOMONTH(L$3,0))-MAX($F14,L$3)+1)/$H14</f>
        <v>133210.2375</v>
      </c>
      <c r="M14" s="21">
        <f>$D14*MAX(0,MIN($G14,EOMONTH(M$3,0))-MAX($F14,M$3)+1)/$H14</f>
        <v>257539.7925</v>
      </c>
      <c r="N14" s="21">
        <f>$D14*MAX(0,MIN($G14,EOMONTH(N$3,0))-MAX($F14,N$3)+1)/$H14</f>
        <v>0</v>
      </c>
      <c r="O14" s="21">
        <f>$D14*MAX(0,MIN($G14,EOMONTH(O$3,0))-MAX($F14,O$3)+1)/$H14</f>
        <v>0</v>
      </c>
      <c r="P14" s="21">
        <f>$D14*MAX(0,MIN($G14,EOMONTH(P$3,0))-MAX($F14,P$3)+1)/$H14</f>
        <v>0</v>
      </c>
      <c r="Q14" s="21">
        <f>$D14*MAX(0,MIN($G14,EOMONTH(Q$3,0))-MAX($F14,Q$3)+1)/$H14</f>
        <v>0</v>
      </c>
      <c r="R14" s="21">
        <f>$D14*MAX(0,MIN($G14,EOMONTH(R$3,0))-MAX($F14,R$3)+1)/$H14</f>
        <v>0</v>
      </c>
      <c r="S14" s="21">
        <f>$D14*MAX(0,MIN($G14,EOMONTH(S$3,0))-MAX($F14,S$3)+1)/$H14</f>
        <v>0</v>
      </c>
      <c r="T14" s="21">
        <f>$D14*MAX(0,MIN($G14,EOMONTH(T$3,0))-MAX($F14,T$3)+1)/$H14</f>
        <v>0</v>
      </c>
      <c r="U14" s="22">
        <f>SUM(I14:T14)</f>
        <v>390750.03</v>
      </c>
      <c r="V14" s="8" t="str">
        <f>IF(ABS(U14-D14)&lt;0.01,"OK","ERRO")</f>
        <v>OK</v>
      </c>
    </row>
    <row r="15">
      <c r="A15" s="7" t="n">
        <v>91979</v>
      </c>
      <c r="B15" s="7" t="inlineStr">
        <is>
          <t>Estudo de QS - LD Gurupi - Dueré</t>
        </is>
      </c>
      <c r="C15" s="7" t="inlineStr">
        <is>
          <t>Sul</t>
        </is>
      </c>
      <c r="D15" s="19" t="n">
        <v>239581.77</v>
      </c>
      <c r="E15" s="19" t="n">
        <v>275195.3599</v>
      </c>
      <c r="F15" s="20">
        <f>MIN(WBS_Cronograma!F158)</f>
        <v>46483</v>
      </c>
      <c r="G15" s="20">
        <f>MAX(WBS_Cronograma!G160)</f>
        <v>46526</v>
      </c>
      <c r="H15" s="7">
        <f>G15-F15+1</f>
        <v>44</v>
      </c>
      <c r="I15" s="21">
        <f>$D15*MAX(0,MIN($G15,EOMONTH(I$3,0))-MAX($F15,I$3)+1)/$H15</f>
        <v>0</v>
      </c>
      <c r="J15" s="21">
        <f>$D15*MAX(0,MIN($G15,EOMONTH(J$3,0))-MAX($F15,J$3)+1)/$H15</f>
        <v>0</v>
      </c>
      <c r="K15" s="21">
        <f>$D15*MAX(0,MIN($G15,EOMONTH(K$3,0))-MAX($F15,K$3)+1)/$H15</f>
        <v>0</v>
      </c>
      <c r="L15" s="21">
        <f>$D15*MAX(0,MIN($G15,EOMONTH(L$3,0))-MAX($F15,L$3)+1)/$H15</f>
        <v>136126.005681818</v>
      </c>
      <c r="M15" s="21">
        <f>$D15*MAX(0,MIN($G15,EOMONTH(M$3,0))-MAX($F15,M$3)+1)/$H15</f>
        <v>103455.764318182</v>
      </c>
      <c r="N15" s="21">
        <f>$D15*MAX(0,MIN($G15,EOMONTH(N$3,0))-MAX($F15,N$3)+1)/$H15</f>
        <v>0</v>
      </c>
      <c r="O15" s="21">
        <f>$D15*MAX(0,MIN($G15,EOMONTH(O$3,0))-MAX($F15,O$3)+1)/$H15</f>
        <v>0</v>
      </c>
      <c r="P15" s="21">
        <f>$D15*MAX(0,MIN($G15,EOMONTH(P$3,0))-MAX($F15,P$3)+1)/$H15</f>
        <v>0</v>
      </c>
      <c r="Q15" s="21">
        <f>$D15*MAX(0,MIN($G15,EOMONTH(Q$3,0))-MAX($F15,Q$3)+1)/$H15</f>
        <v>0</v>
      </c>
      <c r="R15" s="21">
        <f>$D15*MAX(0,MIN($G15,EOMONTH(R$3,0))-MAX($F15,R$3)+1)/$H15</f>
        <v>0</v>
      </c>
      <c r="S15" s="21">
        <f>$D15*MAX(0,MIN($G15,EOMONTH(S$3,0))-MAX($F15,S$3)+1)/$H15</f>
        <v>0</v>
      </c>
      <c r="T15" s="21">
        <f>$D15*MAX(0,MIN($G15,EOMONTH(T$3,0))-MAX($F15,T$3)+1)/$H15</f>
        <v>0</v>
      </c>
      <c r="U15" s="22">
        <f>SUM(I15:T15)</f>
        <v>239581.77</v>
      </c>
      <c r="V15" s="8" t="str">
        <f>IF(ABS(U15-D15)&lt;0.01,"OK","ERRO")</f>
        <v>OK</v>
      </c>
    </row>
    <row r="16">
      <c r="A16" s="7" t="n">
        <v>89307</v>
      </c>
      <c r="B16" s="7" t="inlineStr">
        <is>
          <t>Instalação de RT - 1 de Figueirópolis - 2FGR - QP</t>
        </is>
      </c>
      <c r="C16" s="7" t="inlineStr">
        <is>
          <t>Sul</t>
        </is>
      </c>
      <c r="D16" s="19" t="n">
        <v>330989.034</v>
      </c>
      <c r="E16" s="19" t="n">
        <v>373175.8639</v>
      </c>
      <c r="F16" s="20">
        <f>MIN(WBS_Cronograma!F180)</f>
        <v>46542</v>
      </c>
      <c r="G16" s="20">
        <f>MAX(WBS_Cronograma!G182)</f>
        <v>46585</v>
      </c>
      <c r="H16" s="7">
        <f>G16-F16+1</f>
        <v>44</v>
      </c>
      <c r="I16" s="21">
        <f>$D16*MAX(0,MIN($G16,EOMONTH(I$3,0))-MAX($F16,I$3)+1)/$H16</f>
        <v>0</v>
      </c>
      <c r="J16" s="21">
        <f>$D16*MAX(0,MIN($G16,EOMONTH(J$3,0))-MAX($F16,J$3)+1)/$H16</f>
        <v>0</v>
      </c>
      <c r="K16" s="21">
        <f>$D16*MAX(0,MIN($G16,EOMONTH(K$3,0))-MAX($F16,K$3)+1)/$H16</f>
        <v>0</v>
      </c>
      <c r="L16" s="21">
        <f>$D16*MAX(0,MIN($G16,EOMONTH(L$3,0))-MAX($F16,L$3)+1)/$H16</f>
        <v>0</v>
      </c>
      <c r="M16" s="21">
        <f>$D16*MAX(0,MIN($G16,EOMONTH(M$3,0))-MAX($F16,M$3)+1)/$H16</f>
        <v>0</v>
      </c>
      <c r="N16" s="21">
        <f>$D16*MAX(0,MIN($G16,EOMONTH(N$3,0))-MAX($F16,N$3)+1)/$H16</f>
        <v>203106.907227273</v>
      </c>
      <c r="O16" s="21">
        <f>$D16*MAX(0,MIN($G16,EOMONTH(O$3,0))-MAX($F16,O$3)+1)/$H16</f>
        <v>127882.126772727</v>
      </c>
      <c r="P16" s="21">
        <f>$D16*MAX(0,MIN($G16,EOMONTH(P$3,0))-MAX($F16,P$3)+1)/$H16</f>
        <v>0</v>
      </c>
      <c r="Q16" s="21">
        <f>$D16*MAX(0,MIN($G16,EOMONTH(Q$3,0))-MAX($F16,Q$3)+1)/$H16</f>
        <v>0</v>
      </c>
      <c r="R16" s="21">
        <f>$D16*MAX(0,MIN($G16,EOMONTH(R$3,0))-MAX($F16,R$3)+1)/$H16</f>
        <v>0</v>
      </c>
      <c r="S16" s="21">
        <f>$D16*MAX(0,MIN($G16,EOMONTH(S$3,0))-MAX($F16,S$3)+1)/$H16</f>
        <v>0</v>
      </c>
      <c r="T16" s="21">
        <f>$D16*MAX(0,MIN($G16,EOMONTH(T$3,0))-MAX($F16,T$3)+1)/$H16</f>
        <v>0</v>
      </c>
      <c r="U16" s="22">
        <f>SUM(I16:T16)</f>
        <v>330989.034</v>
      </c>
      <c r="V16" s="8" t="str">
        <f>IF(ABS(U16-D16)&lt;0.01,"OK","ERRO")</f>
        <v>OK</v>
      </c>
    </row>
    <row r="17">
      <c r="B17" s="23" t="inlineStr">
        <is>
          <t>TOTAL</t>
        </is>
      </c>
      <c r="D17" s="24">
        <f>SUM(D5:D16)</f>
        <v>5226849.322</v>
      </c>
      <c r="E17" s="24">
        <f>SUM(E5:E16)</f>
        <v>6018888.736</v>
      </c>
      <c r="I17" s="25">
        <f>SUM(I5:I16)</f>
        <v>0</v>
      </c>
      <c r="J17" s="25">
        <f>SUM(J5:J16)</f>
        <v>0</v>
      </c>
      <c r="K17" s="25">
        <f>SUM(K5:K16)</f>
        <v>0</v>
      </c>
      <c r="L17" s="25">
        <f>SUM(L5:L16)</f>
        <v>2170814.06769954</v>
      </c>
      <c r="M17" s="25">
        <f>SUM(M5:M16)</f>
        <v>2233824.8055547</v>
      </c>
      <c r="N17" s="25">
        <f>SUM(N5:N16)</f>
        <v>476356.83651849</v>
      </c>
      <c r="O17" s="25">
        <f>SUM(O5:O16)</f>
        <v>345853.612227273</v>
      </c>
      <c r="P17" s="25">
        <f>SUM(P5:P16)</f>
        <v>0</v>
      </c>
      <c r="Q17" s="25">
        <f>SUM(Q5:Q16)</f>
        <v>0</v>
      </c>
      <c r="R17" s="25">
        <f>SUM(R5:R16)</f>
        <v>0</v>
      </c>
      <c r="S17" s="25">
        <f>SUM(S5:S16)</f>
        <v>0</v>
      </c>
      <c r="T17" s="25">
        <f>SUM(T5:T16)</f>
        <v>0</v>
      </c>
      <c r="U17" s="24">
        <f>SUM(U5:U16)</f>
        <v>5226849.322</v>
      </c>
    </row>
    <row r="18">
      <c r="B18" s="26" t="inlineStr">
        <is>
          <t>Acumulado (R$)</t>
        </is>
      </c>
      <c r="I18" s="27">
        <f>SUM($I17:I17)</f>
        <v>0</v>
      </c>
      <c r="J18" s="27">
        <f>SUM($I17:J17)</f>
        <v>0</v>
      </c>
      <c r="K18" s="27">
        <f>SUM($I17:K17)</f>
        <v>0</v>
      </c>
      <c r="L18" s="27">
        <f>SUM($I17:L17)</f>
        <v>2170814.06769954</v>
      </c>
      <c r="M18" s="27">
        <f>SUM($I17:M17)</f>
        <v>4404638.87325424</v>
      </c>
      <c r="N18" s="27">
        <f>SUM($I17:N17)</f>
        <v>4880995.70977273</v>
      </c>
      <c r="O18" s="27">
        <f>SUM($I17:O17)</f>
        <v>5226849.322</v>
      </c>
      <c r="P18" s="27">
        <f>SUM($I17:P17)</f>
        <v>5226849.322</v>
      </c>
      <c r="Q18" s="27">
        <f>SUM($I17:Q17)</f>
        <v>5226849.322</v>
      </c>
      <c r="R18" s="27">
        <f>SUM($I17:R17)</f>
        <v>5226849.322</v>
      </c>
      <c r="S18" s="27">
        <f>SUM($I17:S17)</f>
        <v>5226849.322</v>
      </c>
      <c r="T18" s="27">
        <f>SUM($I17:T17)</f>
        <v>5226849.322</v>
      </c>
    </row>
    <row r="19">
      <c r="B19" s="26" t="inlineStr">
        <is>
          <t>Acumulado (% do orçamento 08.10)</t>
        </is>
      </c>
      <c r="I19" s="28">
        <f>I18/$D$17</f>
        <v>0</v>
      </c>
      <c r="J19" s="28">
        <f>J18/$D$17</f>
        <v>0</v>
      </c>
      <c r="K19" s="28">
        <f>K18/$D$17</f>
        <v>0</v>
      </c>
      <c r="L19" s="28">
        <f>L18/$D$17</f>
        <v>0.415319810074207</v>
      </c>
      <c r="M19" s="28">
        <f>M18/$D$17</f>
        <v>0.842694824722601</v>
      </c>
      <c r="N19" s="28">
        <f>N18/$D$17</f>
        <v>0.93383134065649</v>
      </c>
      <c r="O19" s="28">
        <f>O18/$D$17</f>
        <v>1</v>
      </c>
      <c r="P19" s="28">
        <f>P18/$D$17</f>
        <v>1</v>
      </c>
      <c r="Q19" s="28">
        <f>Q18/$D$17</f>
        <v>1</v>
      </c>
      <c r="R19" s="28">
        <f>R18/$D$17</f>
        <v>1</v>
      </c>
      <c r="S19" s="28">
        <f>S18/$D$17</f>
        <v>1</v>
      </c>
      <c r="T19" s="28">
        <f>T18/$D$17</f>
        <v>1</v>
      </c>
    </row>
    <row r="20"/>
    <row r="21">
      <c r="B21" s="29" t="inlineStr">
        <is>
          <t>Resumo por regional (R$)</t>
        </is>
      </c>
    </row>
    <row r="22">
      <c r="B22" s="23" t="inlineStr">
        <is>
          <t>Norte</t>
        </is>
      </c>
      <c r="D22" s="21">
        <f>SUMIFS(D$5:D$16,$C$5:$C$16,"Norte")</f>
        <v>1312672.982</v>
      </c>
      <c r="I22" s="21">
        <f>SUMIFS(I$5:I$16,$C$5:$C$16,"Norte")</f>
        <v>0</v>
      </c>
      <c r="J22" s="21">
        <f>SUMIFS(J$5:J$16,$C$5:$C$16,"Norte")</f>
        <v>0</v>
      </c>
      <c r="K22" s="21">
        <f>SUMIFS(K$5:K$16,$C$5:$C$16,"Norte")</f>
        <v>0</v>
      </c>
      <c r="L22" s="21">
        <f>SUMIFS(L$5:L$16,$C$5:$C$16,"Norte")</f>
        <v>518783.290909091</v>
      </c>
      <c r="M22" s="21">
        <f>SUMIFS(M$5:M$16,$C$5:$C$16,"Norte")</f>
        <v>394275.301090909</v>
      </c>
      <c r="N22" s="21">
        <f>SUMIFS(N$5:N$16,$C$5:$C$16,"Norte")</f>
        <v>181642.904545455</v>
      </c>
      <c r="O22" s="21">
        <f>SUMIFS(O$5:O$16,$C$5:$C$16,"Norte")</f>
        <v>217971.485454545</v>
      </c>
      <c r="P22" s="21">
        <f>SUMIFS(P$5:P$16,$C$5:$C$16,"Norte")</f>
        <v>0</v>
      </c>
      <c r="Q22" s="21">
        <f>SUMIFS(Q$5:Q$16,$C$5:$C$16,"Norte")</f>
        <v>0</v>
      </c>
      <c r="R22" s="21">
        <f>SUMIFS(R$5:R$16,$C$5:$C$16,"Norte")</f>
        <v>0</v>
      </c>
      <c r="S22" s="21">
        <f>SUMIFS(S$5:S$16,$C$5:$C$16,"Norte")</f>
        <v>0</v>
      </c>
      <c r="T22" s="21">
        <f>SUMIFS(T$5:T$16,$C$5:$C$16,"Norte")</f>
        <v>0</v>
      </c>
      <c r="U22" s="21">
        <f>SUMIFS(U$5:U$16,$C$5:$C$16,"Norte")</f>
        <v>1312672.982</v>
      </c>
    </row>
    <row r="23">
      <c r="B23" s="23" t="inlineStr">
        <is>
          <t>Centro</t>
        </is>
      </c>
      <c r="D23" s="21">
        <f>SUMIFS(D$5:D$16,$C$5:$C$16,"Centro")</f>
        <v>3343605.536</v>
      </c>
      <c r="I23" s="21">
        <f>SUMIFS(I$5:I$16,$C$5:$C$16,"Centro")</f>
        <v>0</v>
      </c>
      <c r="J23" s="21">
        <f>SUMIFS(J$5:J$16,$C$5:$C$16,"Centro")</f>
        <v>0</v>
      </c>
      <c r="K23" s="21">
        <f>SUMIFS(K$5:K$16,$C$5:$C$16,"Centro")</f>
        <v>0</v>
      </c>
      <c r="L23" s="21">
        <f>SUMIFS(L$5:L$16,$C$5:$C$16,"Centro")</f>
        <v>1515904.77110863</v>
      </c>
      <c r="M23" s="21">
        <f>SUMIFS(M$5:M$16,$C$5:$C$16,"Centro")</f>
        <v>1736093.74014561</v>
      </c>
      <c r="N23" s="21">
        <f>SUMIFS(N$5:N$16,$C$5:$C$16,"Centro")</f>
        <v>91607.0247457627</v>
      </c>
      <c r="O23" s="21">
        <f>SUMIFS(O$5:O$16,$C$5:$C$16,"Centro")</f>
        <v>0</v>
      </c>
      <c r="P23" s="21">
        <f>SUMIFS(P$5:P$16,$C$5:$C$16,"Centro")</f>
        <v>0</v>
      </c>
      <c r="Q23" s="21">
        <f>SUMIFS(Q$5:Q$16,$C$5:$C$16,"Centro")</f>
        <v>0</v>
      </c>
      <c r="R23" s="21">
        <f>SUMIFS(R$5:R$16,$C$5:$C$16,"Centro")</f>
        <v>0</v>
      </c>
      <c r="S23" s="21">
        <f>SUMIFS(S$5:S$16,$C$5:$C$16,"Centro")</f>
        <v>0</v>
      </c>
      <c r="T23" s="21">
        <f>SUMIFS(T$5:T$16,$C$5:$C$16,"Centro")</f>
        <v>0</v>
      </c>
      <c r="U23" s="21">
        <f>SUMIFS(U$5:U$16,$C$5:$C$16,"Centro")</f>
        <v>3343605.536</v>
      </c>
    </row>
    <row r="24">
      <c r="B24" s="23" t="inlineStr">
        <is>
          <t>Sul</t>
        </is>
      </c>
      <c r="D24" s="21">
        <f>SUMIFS(D$5:D$16,$C$5:$C$16,"Sul")</f>
        <v>570570.804</v>
      </c>
      <c r="I24" s="21">
        <f>SUMIFS(I$5:I$16,$C$5:$C$16,"Sul")</f>
        <v>0</v>
      </c>
      <c r="J24" s="21">
        <f>SUMIFS(J$5:J$16,$C$5:$C$16,"Sul")</f>
        <v>0</v>
      </c>
      <c r="K24" s="21">
        <f>SUMIFS(K$5:K$16,$C$5:$C$16,"Sul")</f>
        <v>0</v>
      </c>
      <c r="L24" s="21">
        <f>SUMIFS(L$5:L$16,$C$5:$C$16,"Sul")</f>
        <v>136126.005681818</v>
      </c>
      <c r="M24" s="21">
        <f>SUMIFS(M$5:M$16,$C$5:$C$16,"Sul")</f>
        <v>103455.764318182</v>
      </c>
      <c r="N24" s="21">
        <f>SUMIFS(N$5:N$16,$C$5:$C$16,"Sul")</f>
        <v>203106.907227273</v>
      </c>
      <c r="O24" s="21">
        <f>SUMIFS(O$5:O$16,$C$5:$C$16,"Sul")</f>
        <v>127882.126772727</v>
      </c>
      <c r="P24" s="21">
        <f>SUMIFS(P$5:P$16,$C$5:$C$16,"Sul")</f>
        <v>0</v>
      </c>
      <c r="Q24" s="21">
        <f>SUMIFS(Q$5:Q$16,$C$5:$C$16,"Sul")</f>
        <v>0</v>
      </c>
      <c r="R24" s="21">
        <f>SUMIFS(R$5:R$16,$C$5:$C$16,"Sul")</f>
        <v>0</v>
      </c>
      <c r="S24" s="21">
        <f>SUMIFS(S$5:S$16,$C$5:$C$16,"Sul")</f>
        <v>0</v>
      </c>
      <c r="T24" s="21">
        <f>SUMIFS(T$5:T$16,$C$5:$C$16,"Sul")</f>
        <v>0</v>
      </c>
      <c r="U24" s="21">
        <f>SUMIFS(U$5:U$16,$C$5:$C$16,"Sul")</f>
        <v>570570.804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topLeftCell="E1" zoomScaleNormal="100" workbookViewId="0">
      <selection activeCell="E9" sqref="E9"/>
    </sheetView>
  </sheetViews>
  <sheetFormatPr baseColWidth="8" defaultColWidth="8.7109375" defaultRowHeight="15"/>
  <cols>
    <col width="7" customWidth="1" min="1" max="1"/>
    <col width="8" customWidth="1" min="2" max="2"/>
    <col width="9" customWidth="1" min="3" max="3"/>
    <col width="6" customWidth="1" min="4" max="4"/>
    <col width="52" customWidth="1" min="5" max="5"/>
    <col width="12" customWidth="1" min="6" max="7"/>
    <col width="14" customWidth="1" min="8" max="8"/>
    <col width="13" customWidth="1" min="9" max="9"/>
    <col width="12" customWidth="1" min="10" max="10"/>
    <col width="8" customWidth="1" min="11" max="11"/>
    <col width="13" customWidth="1" min="12" max="12"/>
    <col width="36" customWidth="1" min="13" max="13"/>
  </cols>
  <sheetData>
    <row r="1" ht="16.5" customHeight="1">
      <c r="A1" s="1" t="inlineStr">
        <is>
          <t>Resumo dos blocos – marcos principais</t>
        </is>
      </c>
    </row>
    <row r="2"/>
    <row r="3" ht="30" customHeight="1">
      <c r="A3" s="3" t="inlineStr">
        <is>
          <t>Bloco</t>
        </is>
      </c>
      <c r="B3" s="3" t="inlineStr">
        <is>
          <t>SIGCO</t>
        </is>
      </c>
      <c r="C3" s="3" t="inlineStr">
        <is>
          <t>Regional</t>
        </is>
      </c>
      <c r="D3" s="3" t="inlineStr">
        <is>
          <t>Tipo</t>
        </is>
      </c>
      <c r="E3" s="3" t="inlineStr">
        <is>
          <t>Escopo</t>
        </is>
      </c>
      <c r="F3" s="3" t="inlineStr">
        <is>
          <t>Início execução</t>
        </is>
      </c>
      <c r="G3" s="3" t="inlineStr">
        <is>
          <t>Fim execução</t>
        </is>
      </c>
      <c r="H3" s="3" t="inlineStr">
        <is>
          <t>Comissionamento</t>
        </is>
      </c>
      <c r="I3" s="3" t="inlineStr">
        <is>
          <t>Equip. em operação</t>
        </is>
      </c>
      <c r="J3" s="3" t="inlineStr">
        <is>
          <t>Energização necessária</t>
        </is>
      </c>
      <c r="K3" s="3" t="inlineStr">
        <is>
          <t>Folga (dias)</t>
        </is>
      </c>
      <c r="L3" s="3" t="inlineStr">
        <is>
          <t>Encerramento contábil</t>
        </is>
      </c>
      <c r="M3" s="3" t="inlineStr">
        <is>
          <t>Benefício (Cadastro CAPEX)</t>
        </is>
      </c>
    </row>
    <row r="4" ht="24" customHeight="1">
      <c r="A4" s="8" t="inlineStr">
        <is>
          <t>B1</t>
        </is>
      </c>
      <c r="B4" s="8" t="n">
        <v>92118</v>
      </c>
      <c r="C4" s="8" t="inlineStr">
        <is>
          <t>Norte</t>
        </is>
      </c>
      <c r="D4" s="8" t="inlineStr">
        <is>
          <t>RL</t>
        </is>
      </c>
      <c r="E4" s="30" t="inlineStr">
        <is>
          <t>1 religador automático 13,8 kV (ID# E.O 551144)</t>
        </is>
      </c>
      <c r="F4" s="9">
        <f>WBS_Cronograma!F24</f>
        <v>46483</v>
      </c>
      <c r="G4" s="9">
        <f>WBS_Cronograma!G24</f>
        <v>46513</v>
      </c>
      <c r="H4" s="9">
        <f>WBS_Cronograma!F30</f>
        <v>46538</v>
      </c>
      <c r="I4" s="9">
        <f>WBS_Cronograma!F31</f>
        <v>46553</v>
      </c>
      <c r="J4" s="15">
        <f>WBS_Cronograma!I31</f>
        <v>46508</v>
      </c>
      <c r="K4" s="41">
        <f>WBS_Cronograma!J31</f>
        <v>-15</v>
      </c>
      <c r="L4" s="9">
        <f>WBS_Cronograma!G33</f>
        <v>46565</v>
      </c>
      <c r="M4" s="30" t="inlineStr">
        <is>
          <t>DEC -0,0775 h | FEC -0,0300 (base conjunto)</t>
        </is>
      </c>
    </row>
    <row r="5">
      <c r="A5" s="8" t="inlineStr">
        <is>
          <t>B2</t>
        </is>
      </c>
      <c r="B5" s="8" t="n">
        <v>89267</v>
      </c>
      <c r="C5" s="8" t="inlineStr">
        <is>
          <t>Norte</t>
        </is>
      </c>
      <c r="D5" s="8" t="inlineStr">
        <is>
          <t>RT</t>
        </is>
      </c>
      <c r="E5" s="30" t="inlineStr">
        <is>
          <t>2 reguladores de tensão 34,5 kV (ID# E.O 298105 e 38281041)</t>
        </is>
      </c>
      <c r="F5" s="9">
        <f>WBS_Cronograma!F35</f>
        <v>46483</v>
      </c>
      <c r="G5" s="9">
        <f>WBS_Cronograma!G35</f>
        <v>46513</v>
      </c>
      <c r="H5" s="9">
        <f>WBS_Cronograma!F41</f>
        <v>46538</v>
      </c>
      <c r="I5" s="9">
        <f>WBS_Cronograma!F42</f>
        <v>46553</v>
      </c>
      <c r="J5" s="15">
        <f>WBS_Cronograma!I42</f>
        <v>46508</v>
      </c>
      <c r="K5" s="41">
        <f>WBS_Cronograma!J42</f>
        <v>-15</v>
      </c>
      <c r="L5" s="9">
        <f>WBS_Cronograma!G44</f>
        <v>46565</v>
      </c>
      <c r="M5" s="30" t="inlineStr">
        <is>
          <t>Tensão 0,929 → 0,945 pu</t>
        </is>
      </c>
    </row>
    <row r="6">
      <c r="A6" s="8" t="inlineStr">
        <is>
          <t>B3</t>
        </is>
      </c>
      <c r="B6" s="8" t="n">
        <v>89249</v>
      </c>
      <c r="C6" s="8" t="inlineStr">
        <is>
          <t>Norte</t>
        </is>
      </c>
      <c r="D6" s="8" t="inlineStr">
        <is>
          <t>RT</t>
        </is>
      </c>
      <c r="E6" s="30" t="inlineStr">
        <is>
          <t>1 regulador de tensão 34,5 kV (ID# E.O 535352)</t>
        </is>
      </c>
      <c r="F6" s="9">
        <f>WBS_Cronograma!F46</f>
        <v>46549</v>
      </c>
      <c r="G6" s="9">
        <f>WBS_Cronograma!G46</f>
        <v>46579</v>
      </c>
      <c r="H6" s="9">
        <f>WBS_Cronograma!F52</f>
        <v>46604</v>
      </c>
      <c r="I6" s="9">
        <f>WBS_Cronograma!F53</f>
        <v>46619</v>
      </c>
      <c r="J6" s="15">
        <f>WBS_Cronograma!I53</f>
        <v>46600</v>
      </c>
      <c r="K6" s="41">
        <f>WBS_Cronograma!J53</f>
        <v>11</v>
      </c>
      <c r="L6" s="9">
        <f>WBS_Cronograma!G55</f>
        <v>46631</v>
      </c>
      <c r="M6" s="30" t="inlineStr">
        <is>
          <t>Tensão 0,921 → 0,953 pu</t>
        </is>
      </c>
    </row>
    <row r="7" ht="24" customHeight="1">
      <c r="A7" s="8" t="inlineStr">
        <is>
          <t>B4</t>
        </is>
      </c>
      <c r="B7" s="8" t="n">
        <v>90811</v>
      </c>
      <c r="C7" s="8" t="inlineStr">
        <is>
          <t>Centro</t>
        </is>
      </c>
      <c r="D7" s="8" t="inlineStr">
        <is>
          <t>RL</t>
        </is>
      </c>
      <c r="E7" s="30" t="inlineStr">
        <is>
          <t>4 religadores 34,5 kV; 0,25 km RD MT 3#1/0 AWG; 1 poste; 2 chaves faca (NA/NF)</t>
        </is>
      </c>
      <c r="F7" s="9">
        <f>WBS_Cronograma!F69</f>
        <v>46483</v>
      </c>
      <c r="G7" s="9">
        <f>WBS_Cronograma!G69</f>
        <v>46528</v>
      </c>
      <c r="H7" s="9">
        <f>WBS_Cronograma!F75</f>
        <v>46553</v>
      </c>
      <c r="I7" s="9">
        <f>WBS_Cronograma!F76</f>
        <v>46568</v>
      </c>
      <c r="J7" s="15">
        <f>WBS_Cronograma!I76</f>
        <v>46478</v>
      </c>
      <c r="K7" s="41">
        <f>WBS_Cronograma!J76</f>
        <v>-61</v>
      </c>
      <c r="L7" s="9">
        <f>WBS_Cronograma!G78</f>
        <v>46580</v>
      </c>
      <c r="M7" s="30" t="inlineStr">
        <is>
          <t>Tensão 0,91 → 0,95 pu</t>
        </is>
      </c>
    </row>
    <row r="8" ht="24" customHeight="1">
      <c r="A8" s="8" t="inlineStr">
        <is>
          <t>B5</t>
        </is>
      </c>
      <c r="B8" s="8" t="n">
        <v>90811</v>
      </c>
      <c r="C8" s="8" t="inlineStr">
        <is>
          <t>Centro</t>
        </is>
      </c>
      <c r="D8" s="8" t="inlineStr">
        <is>
          <t>RT</t>
        </is>
      </c>
      <c r="E8" s="30" t="inlineStr">
        <is>
          <t>3 reguladores de tensão 34,5 kV (ID# E.O 33356216, 498478 e CH 8810033256)</t>
        </is>
      </c>
      <c r="F8" s="9">
        <f>WBS_Cronograma!F80</f>
        <v>46483</v>
      </c>
      <c r="G8" s="9">
        <f>WBS_Cronograma!G80</f>
        <v>46513</v>
      </c>
      <c r="H8" s="9">
        <f>WBS_Cronograma!F86</f>
        <v>46538</v>
      </c>
      <c r="I8" s="9">
        <f>WBS_Cronograma!F87</f>
        <v>46553</v>
      </c>
      <c r="J8" s="15">
        <f>WBS_Cronograma!I87</f>
        <v>46478</v>
      </c>
      <c r="K8" s="41">
        <f>WBS_Cronograma!J87</f>
        <v>-46</v>
      </c>
      <c r="L8" s="9">
        <f>WBS_Cronograma!G89</f>
        <v>46565</v>
      </c>
      <c r="M8" s="30" t="inlineStr">
        <is>
          <t>Tensão 0,91 → 0,95 pu</t>
        </is>
      </c>
    </row>
    <row r="9" ht="24" customHeight="1">
      <c r="A9" s="8" t="inlineStr">
        <is>
          <t>B6</t>
        </is>
      </c>
      <c r="B9" s="8" t="n">
        <v>92095</v>
      </c>
      <c r="C9" s="8" t="inlineStr">
        <is>
          <t>Centro</t>
        </is>
      </c>
      <c r="D9" s="8" t="inlineStr">
        <is>
          <t>RL</t>
        </is>
      </c>
      <c r="E9" s="30" t="inlineStr">
        <is>
          <t>1 religador automático 34,5 kV (ID# E.O 425776)</t>
        </is>
      </c>
      <c r="F9" s="9">
        <f>WBS_Cronograma!F91</f>
        <v>46483</v>
      </c>
      <c r="G9" s="9">
        <f>WBS_Cronograma!G91</f>
        <v>46513</v>
      </c>
      <c r="H9" s="9">
        <f>WBS_Cronograma!F97</f>
        <v>46538</v>
      </c>
      <c r="I9" s="9">
        <f>WBS_Cronograma!F98</f>
        <v>46553</v>
      </c>
      <c r="J9" s="15">
        <f>WBS_Cronograma!I98</f>
        <v>46539</v>
      </c>
      <c r="K9" s="41">
        <f>WBS_Cronograma!J98</f>
        <v>15</v>
      </c>
      <c r="L9" s="9">
        <f>WBS_Cronograma!G100</f>
        <v>46565</v>
      </c>
      <c r="M9" s="30" t="inlineStr">
        <is>
          <t>DEC -0,3251 h | FEC -0,0694 (base conjunto)</t>
        </is>
      </c>
    </row>
    <row r="10" ht="24" customHeight="1">
      <c r="A10" s="8" t="inlineStr">
        <is>
          <t>B7</t>
        </is>
      </c>
      <c r="B10" s="8" t="n">
        <v>92101</v>
      </c>
      <c r="C10" s="8" t="inlineStr">
        <is>
          <t>Centro</t>
        </is>
      </c>
      <c r="D10" s="8" t="inlineStr">
        <is>
          <t>RL</t>
        </is>
      </c>
      <c r="E10" s="30" t="inlineStr">
        <is>
          <t>1 religador automático 13,8 kV N.A (CH 8861680122)</t>
        </is>
      </c>
      <c r="F10" s="9">
        <f>WBS_Cronograma!F102</f>
        <v>46483</v>
      </c>
      <c r="G10" s="9">
        <f>WBS_Cronograma!G102</f>
        <v>46513</v>
      </c>
      <c r="H10" s="9">
        <f>WBS_Cronograma!F108</f>
        <v>46538</v>
      </c>
      <c r="I10" s="9">
        <f>WBS_Cronograma!F109</f>
        <v>46553</v>
      </c>
      <c r="J10" s="15">
        <f>WBS_Cronograma!I109</f>
        <v>46539</v>
      </c>
      <c r="K10" s="41">
        <f>WBS_Cronograma!J109</f>
        <v>15</v>
      </c>
      <c r="L10" s="9">
        <f>WBS_Cronograma!G111</f>
        <v>46565</v>
      </c>
      <c r="M10" s="30" t="inlineStr">
        <is>
          <t>DEC -0,1405 h | FEC -0,0756 (base conjunto)</t>
        </is>
      </c>
    </row>
    <row r="11">
      <c r="A11" s="8" t="inlineStr">
        <is>
          <t>B8</t>
        </is>
      </c>
      <c r="B11" s="8" t="n">
        <v>70838</v>
      </c>
      <c r="C11" s="8" t="inlineStr">
        <is>
          <t>Centro</t>
        </is>
      </c>
      <c r="D11" s="8" t="inlineStr">
        <is>
          <t>RT</t>
        </is>
      </c>
      <c r="E11" s="30" t="inlineStr">
        <is>
          <t>1 regulador de tensão 34,5 kV (ID# E.O 740431)</t>
        </is>
      </c>
      <c r="F11" s="9">
        <f>WBS_Cronograma!F113</f>
        <v>46483</v>
      </c>
      <c r="G11" s="9">
        <f>WBS_Cronograma!G113</f>
        <v>46513</v>
      </c>
      <c r="H11" s="9">
        <f>WBS_Cronograma!F119</f>
        <v>46538</v>
      </c>
      <c r="I11" s="9">
        <f>WBS_Cronograma!F120</f>
        <v>46553</v>
      </c>
      <c r="J11" s="15">
        <f>WBS_Cronograma!I120</f>
        <v>46539</v>
      </c>
      <c r="K11" s="41">
        <f>WBS_Cronograma!J120</f>
        <v>15</v>
      </c>
      <c r="L11" s="9">
        <f>WBS_Cronograma!G122</f>
        <v>46565</v>
      </c>
      <c r="M11" s="30" t="inlineStr">
        <is>
          <t>Tensão 0,91 → 0,96 pu</t>
        </is>
      </c>
    </row>
    <row r="12" ht="24" customHeight="1">
      <c r="A12" s="8" t="inlineStr">
        <is>
          <t>B9</t>
        </is>
      </c>
      <c r="B12" s="8" t="n">
        <v>92102</v>
      </c>
      <c r="C12" s="8" t="inlineStr">
        <is>
          <t>Centro</t>
        </is>
      </c>
      <c r="D12" s="8" t="inlineStr">
        <is>
          <t>RL</t>
        </is>
      </c>
      <c r="E12" s="30" t="inlineStr">
        <is>
          <t>1 religador automático 13,8 kV N.F (CH 8803933122)</t>
        </is>
      </c>
      <c r="F12" s="9">
        <f>WBS_Cronograma!F124</f>
        <v>46486</v>
      </c>
      <c r="G12" s="9">
        <f>WBS_Cronograma!G124</f>
        <v>46516</v>
      </c>
      <c r="H12" s="9">
        <f>WBS_Cronograma!F130</f>
        <v>46541</v>
      </c>
      <c r="I12" s="9">
        <f>WBS_Cronograma!F131</f>
        <v>46556</v>
      </c>
      <c r="J12" s="15">
        <f>WBS_Cronograma!I131</f>
        <v>46539</v>
      </c>
      <c r="K12" s="41">
        <f>WBS_Cronograma!J131</f>
        <v>12</v>
      </c>
      <c r="L12" s="9">
        <f>WBS_Cronograma!G133</f>
        <v>46568</v>
      </c>
      <c r="M12" s="30" t="inlineStr">
        <is>
          <t>DEC -0,0430 h | FEC -0,0174 (base conjunto)</t>
        </is>
      </c>
    </row>
    <row r="13" ht="24" customHeight="1">
      <c r="A13" s="8" t="inlineStr">
        <is>
          <t>B10</t>
        </is>
      </c>
      <c r="B13" s="8" t="n">
        <v>70978</v>
      </c>
      <c r="C13" s="8" t="inlineStr">
        <is>
          <t>Centro</t>
        </is>
      </c>
      <c r="D13" s="8" t="inlineStr">
        <is>
          <t>RT</t>
        </is>
      </c>
      <c r="E13" s="30" t="inlineStr">
        <is>
          <t>1 regulador de tensão 34,5 kV; troca de fase (A→C) em 3 ramais</t>
        </is>
      </c>
      <c r="F13" s="9">
        <f>WBS_Cronograma!F135</f>
        <v>46486</v>
      </c>
      <c r="G13" s="9">
        <f>WBS_Cronograma!G135</f>
        <v>46516</v>
      </c>
      <c r="H13" s="9">
        <f>WBS_Cronograma!F141</f>
        <v>46541</v>
      </c>
      <c r="I13" s="9">
        <f>WBS_Cronograma!F142</f>
        <v>46556</v>
      </c>
      <c r="J13" s="15">
        <f>WBS_Cronograma!I142</f>
        <v>46539</v>
      </c>
      <c r="K13" s="41">
        <f>WBS_Cronograma!J142</f>
        <v>12</v>
      </c>
      <c r="L13" s="9">
        <f>WBS_Cronograma!G144</f>
        <v>46568</v>
      </c>
      <c r="M13" s="30" t="inlineStr">
        <is>
          <t>Tensão 0,91 → 0,97 pu</t>
        </is>
      </c>
    </row>
    <row r="14" ht="24" customHeight="1">
      <c r="A14" s="8" t="inlineStr">
        <is>
          <t>B11</t>
        </is>
      </c>
      <c r="B14" s="8" t="n">
        <v>92094</v>
      </c>
      <c r="C14" s="8" t="inlineStr">
        <is>
          <t>Centro</t>
        </is>
      </c>
      <c r="D14" s="8" t="inlineStr">
        <is>
          <t>RL</t>
        </is>
      </c>
      <c r="E14" s="30" t="inlineStr">
        <is>
          <t>3 religadores automáticos 34,5 kV (CH 8800756083, 8841714092 e ID# E.O 49973587)</t>
        </is>
      </c>
      <c r="F14" s="9">
        <f>WBS_Cronograma!F146</f>
        <v>46493</v>
      </c>
      <c r="G14" s="9">
        <f>WBS_Cronograma!G146</f>
        <v>46523</v>
      </c>
      <c r="H14" s="9">
        <f>WBS_Cronograma!F152</f>
        <v>46548</v>
      </c>
      <c r="I14" s="9">
        <f>WBS_Cronograma!F153</f>
        <v>46563</v>
      </c>
      <c r="J14" s="15">
        <f>WBS_Cronograma!I153</f>
        <v>46539</v>
      </c>
      <c r="K14" s="41">
        <f>WBS_Cronograma!J153</f>
        <v>5</v>
      </c>
      <c r="L14" s="9">
        <f>WBS_Cronograma!G155</f>
        <v>46575</v>
      </c>
      <c r="M14" s="30" t="inlineStr">
        <is>
          <t>DEC -0,4015 h | FEC -0,2040 (base conjunto)</t>
        </is>
      </c>
    </row>
    <row r="15" ht="24" customHeight="1">
      <c r="A15" s="8" t="inlineStr">
        <is>
          <t>B12</t>
        </is>
      </c>
      <c r="B15" s="8" t="n">
        <v>91979</v>
      </c>
      <c r="C15" s="8" t="inlineStr">
        <is>
          <t>Sul</t>
        </is>
      </c>
      <c r="D15" s="8" t="inlineStr">
        <is>
          <t>RL</t>
        </is>
      </c>
      <c r="E15" s="30" t="inlineStr">
        <is>
          <t>1 religador rural 34,5 kV (CH 3300246076); 3 TripSavers</t>
        </is>
      </c>
      <c r="F15" s="9">
        <f>WBS_Cronograma!F158</f>
        <v>46483</v>
      </c>
      <c r="G15" s="9">
        <f>WBS_Cronograma!G158</f>
        <v>46513</v>
      </c>
      <c r="H15" s="9">
        <f>WBS_Cronograma!F164</f>
        <v>46538</v>
      </c>
      <c r="I15" s="9">
        <f>WBS_Cronograma!F165</f>
        <v>46553</v>
      </c>
      <c r="J15" s="15">
        <f>WBS_Cronograma!I165</f>
        <v>46508</v>
      </c>
      <c r="K15" s="41">
        <f>WBS_Cronograma!J165</f>
        <v>-15</v>
      </c>
      <c r="L15" s="9">
        <f>WBS_Cronograma!G167</f>
        <v>46565</v>
      </c>
      <c r="M15" s="30" t="inlineStr">
        <is>
          <t>DEC -0,5568 h | FEC -0,1037 (base conjunto)</t>
        </is>
      </c>
    </row>
    <row r="16" ht="24" customHeight="1">
      <c r="A16" s="8" t="inlineStr">
        <is>
          <t>B13</t>
        </is>
      </c>
      <c r="B16" s="8" t="n">
        <v>89307</v>
      </c>
      <c r="C16" s="8" t="inlineStr">
        <is>
          <t>Sul</t>
        </is>
      </c>
      <c r="D16" s="8" t="inlineStr">
        <is>
          <t>RT</t>
        </is>
      </c>
      <c r="E16" s="30" t="inlineStr">
        <is>
          <t>1 regulador de tensão 13,8 kV (EO 241355); remanejamento do RL 7924620047; manobras</t>
        </is>
      </c>
      <c r="F16" s="9">
        <f>WBS_Cronograma!F180</f>
        <v>46542</v>
      </c>
      <c r="G16" s="9">
        <f>WBS_Cronograma!G180</f>
        <v>46572</v>
      </c>
      <c r="H16" s="9">
        <f>WBS_Cronograma!F186</f>
        <v>46597</v>
      </c>
      <c r="I16" s="9">
        <f>WBS_Cronograma!F187</f>
        <v>46612</v>
      </c>
      <c r="J16" s="15">
        <f>WBS_Cronograma!I187</f>
        <v>46600</v>
      </c>
      <c r="K16" s="41">
        <f>WBS_Cronograma!J187</f>
        <v>18</v>
      </c>
      <c r="L16" s="9">
        <f>WBS_Cronograma!G189</f>
        <v>46624</v>
      </c>
      <c r="M16" s="30" t="inlineStr">
        <is>
          <t>Tensão 0,92 → 0,96 pu</t>
        </is>
      </c>
    </row>
  </sheetData>
  <conditionalFormatting sqref="K4:K16">
    <cfRule type="cellIs" priority="1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zoomScaleNormal="100" workbookViewId="0">
      <selection activeCell="A12" sqref="A12"/>
    </sheetView>
  </sheetViews>
  <sheetFormatPr baseColWidth="8" defaultColWidth="8.7109375" defaultRowHeight="15"/>
  <cols>
    <col width="160" customWidth="1" min="1" max="1"/>
  </cols>
  <sheetData>
    <row r="1">
      <c r="A1" s="31" t="inlineStr">
        <is>
          <t>Fontes</t>
        </is>
      </c>
    </row>
    <row r="2">
      <c r="A2" s="32" t="inlineStr">
        <is>
          <t>Cadastro CAPEX 2027-2029 (24/08/2026, PMO 3.2.1) – aba 'Base 2027-2028 28.08 (2)': escopo detalhado, GP, energização e orçamento (colunas Orçamento Agosto e Orçamento 08.10).</t>
        </is>
      </c>
    </row>
    <row r="3">
      <c r="A3" s="32" t="inlineStr">
        <is>
          <t>Transfer Meeting Ciclo 2027-2028 e ATA TM CAPEX 06/10/2026: energizações por SIGCO, calendário TM 06/10 · KOM 29/10 · PRM 02/12/2026.</t>
        </is>
      </c>
    </row>
    <row r="4">
      <c r="A4" s="32" t="inlineStr">
        <is>
          <t>Fichas 2027 (12 SIGCOs): escopo físico e localização dos equipamentos.</t>
        </is>
      </c>
    </row>
    <row r="5">
      <c r="A5" s="32" t="inlineStr">
        <is>
          <t>KOM/PRM 2026 – Obras Distribuição Regionais Centro, Norte e Sul: estrutura e durações dos blocos de equipamentos especiais.</t>
        </is>
      </c>
    </row>
    <row r="6">
      <c r="A6" s="32" t="n"/>
    </row>
    <row r="7">
      <c r="A7" s="31" t="inlineStr">
        <is>
          <t>Premissas de planejamento</t>
        </is>
      </c>
    </row>
    <row r="8">
      <c r="A8" s="32" t="inlineStr">
        <is>
          <t>1. Cronograma considera somente os blocos de instalação de equipamentos especiais (RL, RT, TripSaver); não há BC nesta carteira. Gerenciamento (PMBOK) e planejamento/suprimentos constam da WBS apenas como marcos e atividades de apoio.</t>
        </is>
      </c>
    </row>
    <row r="9">
      <c r="A9" s="32" t="inlineStr">
        <is>
          <t>2. Dias corridos; término = início + duração; tarefa seguinte inicia no dia seguinte ao término da predecessora.</t>
        </is>
      </c>
    </row>
    <row r="10">
      <c r="A10" s="32" t="inlineStr">
        <is>
          <t>3. Data-alvo de 'Equipamentos em Operação' dentro do mês de energização necessária (ASPO), com folga até o fim do mês.</t>
        </is>
      </c>
    </row>
    <row r="11">
      <c r="A11" s="32" t="inlineStr">
        <is>
          <t>4. SIGCO 90811 dividido em dois blocos (Parte I – 4 RL + rede/chaves; Parte II – 3 RT).</t>
        </is>
      </c>
    </row>
    <row r="12">
      <c r="A12" s="32" t="inlineStr">
        <is>
          <t>5. Equipamentos (RL/RT/TripSaver) disponíveis somente após 05/04/2027: nenhuma execução de bloco inicia antes de 06/04/2027 (Lote 1 recebido em 05/04/2027; Lote 2 – B3 e B13 – recebido 7 dias antes do início); O.S. da EPS emitida nos 5 dias que antecedem o início de cada lote.</t>
        </is>
      </c>
    </row>
    <row r="13">
      <c r="A13" s="32" t="inlineStr">
        <is>
          <t>6. Curva orçamentária: orçamento 08.10 distribuído em dias corridos entre o início da execução e o fim da fiscalização de cada SIGCO.</t>
        </is>
      </c>
    </row>
    <row r="14">
      <c r="A14" s="32" t="inlineStr">
        <is>
          <t>7. Agrupamento por regional (Norte/Centro/Sul) definido pela localização dos alimentadores – validar com a coordenação COCM.</t>
        </is>
      </c>
    </row>
    <row r="15">
      <c r="A15" s="32" t="inlineStr">
        <is>
          <t>8. Orçamento a ser atualizado quando a ASPO repassar a base fechada após capitalização (ATA TM, item 1c).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2026-10-25T12:56:17Z</dcterms:created>
  <dcterms:modified xmlns:dcterms="http://purl.org/dc/terms/" xmlns:xsi="http://www.w3.org/2001/XMLSchema-instance" xsi:type="dcterms:W3CDTF">2026-10-29T03:04:07Z</dcterms:modified>
  <cp:lastModifiedBy>Sandro Padilha Dias Junior</cp:lastModifiedBy>
  <cp:revision>0</cp:revision>
</cp:coreProperties>
</file>