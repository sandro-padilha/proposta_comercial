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Cronograma Macro" sheetId="2" state="visible" r:id="rId2"/>
    <sheet xmlns:r="http://schemas.openxmlformats.org/officeDocument/2006/relationships" name="Gantt" sheetId="3" state="visible" r:id="rId3"/>
    <sheet xmlns:r="http://schemas.openxmlformats.org/officeDocument/2006/relationships" name="Curva orçamentária" sheetId="4" state="visible" r:id="rId4"/>
    <sheet xmlns:r="http://schemas.openxmlformats.org/officeDocument/2006/relationships" name="Aquisições" sheetId="5" state="visible" r:id="rId5"/>
    <sheet xmlns:r="http://schemas.openxmlformats.org/officeDocument/2006/relationships" name="Base PN 2026 (RL-RT)" sheetId="6" state="visible" r:id="rId6"/>
    <sheet xmlns:r="http://schemas.openxmlformats.org/officeDocument/2006/relationships" name="Carteira" sheetId="7" state="visible" r:id="rId7"/>
    <sheet xmlns:r="http://schemas.openxmlformats.org/officeDocument/2006/relationships" name="Parâmetros" sheetId="8" state="visible" r:id="rId8"/>
  </sheets>
  <definedNames>
    <definedName name="Feriados">Parâmetros!$B$19:$B$33</definedName>
    <definedName name="_xlnm._FilterDatabase" localSheetId="0" hidden="1">'WBS'!$A$1:$J$144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dd/mm"/>
    <numFmt numFmtId="167" formatCode="#,##0;[Red]-#,##0"/>
  </numFmts>
  <fonts count="19">
    <font>
      <name val="Calibri"/>
      <family val="2"/>
      <color theme="1"/>
      <sz val="11"/>
      <scheme val="minor"/>
    </font>
    <font>
      <name val="Arial"/>
      <b val="1"/>
      <color rgb="001F1F4C"/>
      <sz val="14"/>
    </font>
    <font>
      <name val="Arial"/>
      <i val="1"/>
      <color rgb="004D4D4D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FF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sz val="8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BBBBBB"/>
      <sz val="7"/>
    </font>
    <font>
      <name val="Arial"/>
      <b val="1"/>
      <sz val="9"/>
    </font>
    <font>
      <name val="Arial"/>
      <sz val="9"/>
    </font>
    <font>
      <name val="Arial"/>
      <i val="1"/>
      <color rgb="004D4D4D"/>
      <sz val="9"/>
    </font>
    <font>
      <name val="Arial"/>
      <b val="1"/>
      <color rgb="001F1F4C"/>
      <sz val="10"/>
    </font>
    <font>
      <name val="Arial"/>
      <color rgb="004D4D4D"/>
      <sz val="10"/>
    </font>
    <font>
      <name val="Arial"/>
      <i val="1"/>
      <color rgb="00C00000"/>
      <sz val="10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1F4C"/>
      </patternFill>
    </fill>
    <fill>
      <patternFill patternType="solid">
        <fgColor rgb="00E6E6E6"/>
      </patternFill>
    </fill>
    <fill>
      <patternFill patternType="solid">
        <fgColor rgb="00DCE3F0"/>
      </patternFill>
    </fill>
    <fill>
      <patternFill patternType="solid">
        <fgColor rgb="00009FC2"/>
      </patternFill>
    </fill>
    <fill>
      <patternFill patternType="solid">
        <fgColor rgb="00628C0E"/>
      </patternFill>
    </fill>
    <fill>
      <patternFill patternType="solid">
        <fgColor rgb="00F47B20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1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indent="1"/>
    </xf>
    <xf numFmtId="1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indent="2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indent="2"/>
    </xf>
    <xf numFmtId="0" fontId="4" fillId="0" borderId="1" applyAlignment="1" pivotButton="0" quotePrefix="0" xfId="0">
      <alignment horizontal="left" vertical="center" indent="3"/>
    </xf>
    <xf numFmtId="165" fontId="5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0" fillId="2" borderId="0" pivotButton="0" quotePrefix="0" xfId="0"/>
    <xf numFmtId="0" fontId="9" fillId="2" borderId="0" pivotButton="0" quotePrefix="0" xfId="0"/>
    <xf numFmtId="0" fontId="3" fillId="2" borderId="1" applyAlignment="1" pivotButton="0" quotePrefix="0" xfId="0">
      <alignment horizontal="center" vertical="center"/>
    </xf>
    <xf numFmtId="166" fontId="10" fillId="2" borderId="0" applyAlignment="1" pivotButton="0" quotePrefix="0" xfId="0">
      <alignment horizontal="center" vertical="center" textRotation="90"/>
    </xf>
    <xf numFmtId="0" fontId="12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165" fontId="12" fillId="3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3" borderId="1" applyAlignment="1" pivotButton="0" quotePrefix="0" xfId="0">
      <alignment horizontal="left" vertical="center" indent="1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indent="2"/>
    </xf>
    <xf numFmtId="165" fontId="13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2"/>
    </xf>
    <xf numFmtId="0" fontId="13" fillId="0" borderId="1" applyAlignment="1" pivotButton="0" quotePrefix="0" xfId="0">
      <alignment horizontal="left" vertical="center" indent="3"/>
    </xf>
    <xf numFmtId="0" fontId="14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6" fillId="0" borderId="0" pivotButton="0" quotePrefix="0" xfId="0"/>
    <xf numFmtId="3" fontId="6" fillId="3" borderId="1" pivotButton="0" quotePrefix="0" xfId="0"/>
    <xf numFmtId="3" fontId="4" fillId="0" borderId="0" pivotButton="0" quotePrefix="0" xfId="0"/>
    <xf numFmtId="0" fontId="15" fillId="0" borderId="0" pivotButton="0" quotePrefix="0" xfId="0"/>
    <xf numFmtId="0" fontId="16" fillId="0" borderId="1" applyAlignment="1" pivotButton="0" quotePrefix="0" xfId="0">
      <alignment horizontal="center"/>
    </xf>
    <xf numFmtId="0" fontId="16" fillId="0" borderId="1" applyAlignment="1" pivotButton="0" quotePrefix="0" xfId="0">
      <alignment horizontal="left"/>
    </xf>
    <xf numFmtId="3" fontId="16" fillId="0" borderId="1" applyAlignment="1" pivotButton="0" quotePrefix="0" xfId="0">
      <alignment horizontal="right"/>
    </xf>
    <xf numFmtId="167" fontId="4" fillId="0" borderId="0" pivotButton="0" quotePrefix="0" xfId="0"/>
    <xf numFmtId="0" fontId="17" fillId="0" borderId="0" pivotButton="0" quotePrefix="0" xfId="0"/>
    <xf numFmtId="0" fontId="18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center" wrapText="1"/>
    </xf>
    <xf numFmtId="165" fontId="18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165" fontId="1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left" vertical="center" wrapText="1"/>
    </xf>
    <xf numFmtId="4" fontId="5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left" vertical="center" wrapText="1"/>
    </xf>
    <xf numFmtId="0" fontId="6" fillId="3" borderId="1" pivotButton="0" quotePrefix="0" xfId="0"/>
    <xf numFmtId="4" fontId="6" fillId="3" borderId="1" pivotButton="0" quotePrefix="0" xfId="0"/>
    <xf numFmtId="0" fontId="5" fillId="0" borderId="1" applyAlignment="1" pivotButton="0" quotePrefix="0" xfId="0">
      <alignment horizontal="center" vertical="center" wrapText="1"/>
    </xf>
    <xf numFmtId="9" fontId="5" fillId="0" borderId="0" pivotButton="0" quotePrefix="0" xfId="0"/>
    <xf numFmtId="165" fontId="5" fillId="0" borderId="0" pivotButton="0" quotePrefix="0" xfId="0"/>
    <xf numFmtId="0" fontId="4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1F1F4C"/>
          <bgColor rgb="001F1F4C"/>
        </patternFill>
      </fill>
    </dxf>
    <dxf>
      <fill>
        <patternFill patternType="solid">
          <fgColor rgb="00009FC2"/>
          <bgColor rgb="00009FC2"/>
        </patternFill>
      </fill>
    </dxf>
    <dxf>
      <fill>
        <patternFill patternType="solid">
          <fgColor rgb="00628C0E"/>
          <bgColor rgb="00628C0E"/>
        </patternFill>
      </fill>
    </dxf>
    <dxf>
      <fill>
        <patternFill patternType="solid">
          <fgColor rgb="00F47B20"/>
          <bgColor rgb="00F47B20"/>
        </patternFill>
      </fill>
    </dxf>
    <dxf>
      <fill>
        <patternFill patternType="solid">
          <fgColor rgb="00C00000"/>
          <bgColor rgb="00C00000"/>
        </patternFill>
      </fill>
    </dxf>
    <dxf>
      <fill>
        <patternFill patternType="solid">
          <fgColor rgb="009A9AB8"/>
          <bgColor rgb="009A9AB8"/>
        </patternFill>
      </fill>
    </dxf>
    <dxf>
      <fill>
        <patternFill patternType="solid">
          <fgColor rgb="00F8CBAD"/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 fitToPage="1"/>
  </sheetPr>
  <dimension ref="A1:J14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8" customWidth="1" min="1" max="1"/>
    <col width="9" customWidth="1" min="2" max="2"/>
    <col width="12" customWidth="1" min="3" max="3"/>
    <col width="12" customWidth="1" min="4" max="4"/>
    <col width="11" customWidth="1" min="5" max="5"/>
    <col width="14" customWidth="1" min="6" max="6"/>
    <col width="24" customWidth="1" min="7" max="7"/>
    <col width="30" customWidth="1" min="8" max="8"/>
    <col width="9" customWidth="1" min="9" max="9"/>
    <col width="58" customWidth="1" min="10" max="10"/>
  </cols>
  <sheetData>
    <row r="1" ht="28" customHeight="1">
      <c r="A1" s="1" t="inlineStr">
        <is>
          <t>Nome da tarefa</t>
        </is>
      </c>
      <c r="B1" s="1" t="inlineStr">
        <is>
          <t>Duração</t>
        </is>
      </c>
      <c r="C1" s="2" t="inlineStr">
        <is>
          <t>Início</t>
        </is>
      </c>
      <c r="D1" s="2" t="inlineStr">
        <is>
          <t>Término</t>
        </is>
      </c>
      <c r="E1" s="1" t="inlineStr">
        <is>
          <t>Código EAP</t>
        </is>
      </c>
      <c r="F1" s="1" t="inlineStr">
        <is>
          <t>Tipo</t>
        </is>
      </c>
      <c r="G1" s="1" t="inlineStr">
        <is>
          <t>Predecessora</t>
        </is>
      </c>
      <c r="H1" s="1" t="inlineStr">
        <is>
          <t>Responsável (função)</t>
        </is>
      </c>
      <c r="I1" s="1" t="inlineStr">
        <is>
          <t>SIGCO</t>
        </is>
      </c>
      <c r="J1" s="1" t="inlineStr">
        <is>
          <t>Base do prazo</t>
        </is>
      </c>
    </row>
    <row r="2">
      <c r="A2" s="3" t="inlineStr">
        <is>
          <t>PN 2027 – Instalação de Equipamentos Especiais (RL e RT) – 12 SIGCOs</t>
        </is>
      </c>
      <c r="B2" s="4">
        <f>D2-C2</f>
        <v/>
      </c>
      <c r="C2" s="5">
        <f>MIN(C3:C144)</f>
        <v/>
      </c>
      <c r="D2" s="5">
        <f>MAX(D3:D144)</f>
        <v/>
      </c>
      <c r="E2" s="6" t="inlineStr">
        <is>
          <t>1</t>
        </is>
      </c>
      <c r="F2" s="6" t="inlineStr">
        <is>
          <t>Projeto</t>
        </is>
      </c>
      <c r="G2" s="7" t="inlineStr"/>
      <c r="H2" s="7" t="inlineStr">
        <is>
          <t>GP Sandro Padilha (DCMD)</t>
        </is>
      </c>
      <c r="I2" s="6" t="n"/>
      <c r="J2" s="7" t="inlineStr"/>
    </row>
    <row r="3">
      <c r="A3" s="8" t="inlineStr">
        <is>
          <t>Gerenciamento do Projeto (PMBOK)</t>
        </is>
      </c>
      <c r="B3" s="9">
        <f>D3-C3</f>
        <v/>
      </c>
      <c r="C3" s="10">
        <f>MIN(C4:C8)</f>
        <v/>
      </c>
      <c r="D3" s="10">
        <f>MAX(D4:D8)</f>
        <v/>
      </c>
      <c r="E3" s="11" t="inlineStr">
        <is>
          <t>1.1</t>
        </is>
      </c>
      <c r="F3" s="11" t="inlineStr">
        <is>
          <t>Entrega</t>
        </is>
      </c>
      <c r="G3" s="12" t="inlineStr"/>
      <c r="H3" s="12" t="inlineStr">
        <is>
          <t>GP / ASGP (PMO)</t>
        </is>
      </c>
      <c r="I3" s="11" t="n"/>
      <c r="J3" s="12" t="inlineStr"/>
    </row>
    <row r="4">
      <c r="A4" s="13" t="inlineStr">
        <is>
          <t>Transfer Meeting – TM CAPEX (realizado)</t>
        </is>
      </c>
      <c r="B4" s="14" t="n">
        <v>0</v>
      </c>
      <c r="C4" s="15" t="n">
        <v>46301</v>
      </c>
      <c r="D4" s="15">
        <f>C4+B4</f>
        <v/>
      </c>
      <c r="E4" s="16" t="inlineStr">
        <is>
          <t>1.1.1</t>
        </is>
      </c>
      <c r="F4" s="16" t="inlineStr">
        <is>
          <t>Marco</t>
        </is>
      </c>
      <c r="G4" s="17" t="inlineStr"/>
      <c r="H4" s="17" t="inlineStr">
        <is>
          <t>ASGP / ASPO</t>
        </is>
      </c>
      <c r="I4" s="16" t="n"/>
      <c r="J4" s="17" t="inlineStr">
        <is>
          <t>Calendário PMO (ATA TM 06/10/2026)</t>
        </is>
      </c>
    </row>
    <row r="5">
      <c r="A5" s="13" t="inlineStr">
        <is>
          <t>Kickoff Meeting – KOM CAPEX</t>
        </is>
      </c>
      <c r="B5" s="14" t="n">
        <v>0</v>
      </c>
      <c r="C5" s="15" t="n">
        <v>46324</v>
      </c>
      <c r="D5" s="15">
        <f>C5+B5</f>
        <v/>
      </c>
      <c r="E5" s="16" t="inlineStr">
        <is>
          <t>1.1.2</t>
        </is>
      </c>
      <c r="F5" s="16" t="inlineStr">
        <is>
          <t>Marco</t>
        </is>
      </c>
      <c r="G5" s="17" t="inlineStr"/>
      <c r="H5" s="17" t="inlineStr">
        <is>
          <t>GP / PMO</t>
        </is>
      </c>
      <c r="I5" s="16" t="n"/>
      <c r="J5" s="17" t="inlineStr">
        <is>
          <t>Calendário PMO (ATA TM 06/10/2026)</t>
        </is>
      </c>
    </row>
    <row r="6">
      <c r="A6" s="13" t="inlineStr">
        <is>
          <t>Project Review Meeting – PRM CAPEX (consolidar planejamento / salvar linha de base)</t>
        </is>
      </c>
      <c r="B6" s="14" t="n">
        <v>0</v>
      </c>
      <c r="C6" s="15" t="n">
        <v>46358</v>
      </c>
      <c r="D6" s="15">
        <f>C6+B6</f>
        <v/>
      </c>
      <c r="E6" s="16" t="inlineStr">
        <is>
          <t>1.1.3</t>
        </is>
      </c>
      <c r="F6" s="16" t="inlineStr">
        <is>
          <t>Marco</t>
        </is>
      </c>
      <c r="G6" s="17" t="inlineStr"/>
      <c r="H6" s="17" t="inlineStr">
        <is>
          <t>GP / PMO</t>
        </is>
      </c>
      <c r="I6" s="16" t="n"/>
      <c r="J6" s="17" t="inlineStr">
        <is>
          <t>Calendário PMO (ATA TM 06/10/2026)</t>
        </is>
      </c>
    </row>
    <row r="7">
      <c r="A7" s="13" t="inlineStr">
        <is>
          <t>Monitoramento e controle (FUM mensal, reports, forecast e gestão de riscos)</t>
        </is>
      </c>
      <c r="B7" s="14">
        <f>D7-C7</f>
        <v/>
      </c>
      <c r="C7" s="15">
        <f>D6</f>
        <v/>
      </c>
      <c r="D7" s="15">
        <f>MAX(D23,D34,D45,D56,D67,D78,D89,D100,D111,D122,D133,D144)</f>
        <v/>
      </c>
      <c r="E7" s="16" t="inlineStr">
        <is>
          <t>1.1.4</t>
        </is>
      </c>
      <c r="F7" s="16" t="inlineStr">
        <is>
          <t>Pacote</t>
        </is>
      </c>
      <c r="G7" s="17" t="inlineStr">
        <is>
          <t>PRM</t>
        </is>
      </c>
      <c r="H7" s="17" t="inlineStr">
        <is>
          <t>GP</t>
        </is>
      </c>
      <c r="I7" s="16" t="n"/>
      <c r="J7" s="17" t="inlineStr">
        <is>
          <t>Do PRM ao último Encerramento Contábil (duração derivada)</t>
        </is>
      </c>
    </row>
    <row r="8">
      <c r="A8" s="13" t="inlineStr">
        <is>
          <t>Encerramento do projeto: Close Meeting (CM), termo de encerramento, lições aprendidas</t>
        </is>
      </c>
      <c r="B8" s="14">
        <f>D8-C8</f>
        <v/>
      </c>
      <c r="C8" s="15">
        <f>MAX(D23,D34,D45,D56,D67,D78,D89,D100,D111,D122,D133,D144)</f>
        <v/>
      </c>
      <c r="D8" s="15">
        <f>Parâmetros!$B$16</f>
        <v/>
      </c>
      <c r="E8" s="16" t="inlineStr">
        <is>
          <t>1.1.5</t>
        </is>
      </c>
      <c r="F8" s="16" t="inlineStr">
        <is>
          <t>Pacote</t>
        </is>
      </c>
      <c r="G8" s="17" t="inlineStr">
        <is>
          <t>Último Enc. Contábil</t>
        </is>
      </c>
      <c r="H8" s="17" t="inlineStr">
        <is>
          <t>GP / PMO</t>
        </is>
      </c>
      <c r="I8" s="16" t="n"/>
      <c r="J8" s="17" t="inlineStr">
        <is>
          <t>Após o último Encerramento Contábil (restrição: até 17/11/2027)</t>
        </is>
      </c>
    </row>
    <row r="9">
      <c r="A9" s="8" t="inlineStr">
        <is>
          <t>Aquisições e Contratações</t>
        </is>
      </c>
      <c r="B9" s="9">
        <f>D9-C9</f>
        <v/>
      </c>
      <c r="C9" s="10">
        <f>MIN(C10:C11)</f>
        <v/>
      </c>
      <c r="D9" s="10">
        <f>MAX(D10:D11)</f>
        <v/>
      </c>
      <c r="E9" s="11" t="inlineStr">
        <is>
          <t>1.2</t>
        </is>
      </c>
      <c r="F9" s="11" t="inlineStr">
        <is>
          <t>Entrega</t>
        </is>
      </c>
      <c r="G9" s="12" t="inlineStr"/>
      <c r="H9" s="12" t="inlineStr">
        <is>
          <t>DCMD / Suprimentos</t>
        </is>
      </c>
      <c r="I9" s="11" t="n"/>
      <c r="J9" s="12" t="inlineStr"/>
    </row>
    <row r="10">
      <c r="A10" s="13" t="inlineStr">
        <is>
          <t>Equipamentos RL/RT disponíveis para a 1ª frente (PMA/RFP – data necessária em campo)</t>
        </is>
      </c>
      <c r="B10" s="14" t="n">
        <v>0</v>
      </c>
      <c r="C10" s="15">
        <f>MIN(C14,C25,C36,C47,C58,C69,C80,C91,C102,C113,C124,C135)</f>
        <v/>
      </c>
      <c r="D10" s="15">
        <f>C10+B10</f>
        <v/>
      </c>
      <c r="E10" s="16" t="inlineStr">
        <is>
          <t>1.2.1</t>
        </is>
      </c>
      <c r="F10" s="16" t="inlineStr">
        <is>
          <t>Marco</t>
        </is>
      </c>
      <c r="G10" s="17" t="inlineStr"/>
      <c r="H10" s="17" t="inlineStr">
        <is>
          <t>DCMD (PMA de materiais)</t>
        </is>
      </c>
      <c r="I10" s="16" t="n"/>
      <c r="J10" s="17" t="inlineStr">
        <is>
          <t>Data necessária = início da 1ª execução (sem prazo de aquisição adotado: validar lead time com Suprimentos)</t>
        </is>
      </c>
    </row>
    <row r="11">
      <c r="A11" s="13" t="inlineStr">
        <is>
          <t>Contratação da empreiteira executora (EPS) – O.S. assinada para a 1ª frente</t>
        </is>
      </c>
      <c r="B11" s="14" t="n">
        <v>0</v>
      </c>
      <c r="C11" s="15">
        <f>MIN(C14,C25,C36,C47,C58,C69,C80,C91,C102,C113,C124,C135)</f>
        <v/>
      </c>
      <c r="D11" s="15">
        <f>C11+B11</f>
        <v/>
      </c>
      <c r="E11" s="16" t="inlineStr">
        <is>
          <t>1.2.2</t>
        </is>
      </c>
      <c r="F11" s="16" t="inlineStr">
        <is>
          <t>Marco</t>
        </is>
      </c>
      <c r="G11" s="17" t="inlineStr"/>
      <c r="H11" s="17" t="inlineStr">
        <is>
          <t>DCMD (contratação de obras)</t>
        </is>
      </c>
      <c r="I11" s="16" t="n"/>
      <c r="J11" s="17" t="inlineStr">
        <is>
          <t>Data necessária = início da 1ª execução (sem prazo de aquisição adotado: validar lead time com Suprimentos)</t>
        </is>
      </c>
    </row>
    <row r="12">
      <c r="A12" s="8" t="inlineStr">
        <is>
          <t>Instalação, comissionamento e encerramento por SIGCO</t>
        </is>
      </c>
      <c r="B12" s="9">
        <f>D12-C12</f>
        <v/>
      </c>
      <c r="C12" s="10">
        <f>MIN(C13:C144)</f>
        <v/>
      </c>
      <c r="D12" s="10">
        <f>MAX(D13:D144)</f>
        <v/>
      </c>
      <c r="E12" s="11" t="inlineStr">
        <is>
          <t>1.3</t>
        </is>
      </c>
      <c r="F12" s="11" t="inlineStr">
        <is>
          <t>Entrega</t>
        </is>
      </c>
      <c r="G12" s="12" t="inlineStr"/>
      <c r="H12" s="12" t="inlineStr">
        <is>
          <t>DCMD (COCM) / DEOP / DMSL</t>
        </is>
      </c>
      <c r="I12" s="11" t="n"/>
      <c r="J12" s="12" t="inlineStr"/>
    </row>
    <row r="13">
      <c r="A13" s="18" t="inlineStr">
        <is>
          <t>Instalação de RL e RT - LD UHE Isamu - Ponte Alta - 1UI1 - QP (90811)</t>
        </is>
      </c>
      <c r="B13" s="4">
        <f>D13-C13</f>
        <v/>
      </c>
      <c r="C13" s="5">
        <f>MIN(C14:C23)</f>
        <v/>
      </c>
      <c r="D13" s="5">
        <f>MAX(D14:D23)</f>
        <v/>
      </c>
      <c r="E13" s="6" t="inlineStr">
        <is>
          <t>1.3.1</t>
        </is>
      </c>
      <c r="F13" s="6" t="inlineStr">
        <is>
          <t>Pacote</t>
        </is>
      </c>
      <c r="G13" s="7" t="inlineStr"/>
      <c r="H13" s="7" t="inlineStr">
        <is>
          <t>GP Sandro Padilha</t>
        </is>
      </c>
      <c r="I13" s="6" t="n">
        <v>90811</v>
      </c>
      <c r="J13" s="7" t="inlineStr">
        <is>
          <t>4 RL 34,5 kV + 3 RT 34,5 kV (+ 0,25 km RD MT e 2 chaves faca)</t>
        </is>
      </c>
    </row>
    <row r="14" outlineLevel="1">
      <c r="A14" s="19" t="inlineStr">
        <is>
          <t>Executar Obras</t>
        </is>
      </c>
      <c r="B14" s="14">
        <f>Parâmetros!$B$6</f>
        <v/>
      </c>
      <c r="C14" s="20" t="n">
        <v>46419</v>
      </c>
      <c r="D14" s="15">
        <f>C14+B14</f>
        <v/>
      </c>
      <c r="E14" s="16" t="inlineStr">
        <is>
          <t>1.3.1.1</t>
        </is>
      </c>
      <c r="F14" s="16" t="inlineStr">
        <is>
          <t>Atividade</t>
        </is>
      </c>
      <c r="G14" s="17" t="inlineStr">
        <is>
          <t>Início por meta de energização</t>
        </is>
      </c>
      <c r="H14" s="17" t="inlineStr">
        <is>
          <t>EPS (executora) / Supervisor de Obras DCMD</t>
        </is>
      </c>
      <c r="I14" s="16" t="n">
        <v>90811</v>
      </c>
      <c r="J14" s="17" t="inlineStr">
        <is>
          <t>PN 2026 – blocos RL/RT</t>
        </is>
      </c>
    </row>
    <row r="15" outlineLevel="1">
      <c r="A15" s="19" t="inlineStr">
        <is>
          <t>Obras Concluídas</t>
        </is>
      </c>
      <c r="B15" s="14" t="n">
        <v>0</v>
      </c>
      <c r="C15" s="15">
        <f>D14</f>
        <v/>
      </c>
      <c r="D15" s="15">
        <f>C15+B15</f>
        <v/>
      </c>
      <c r="E15" s="16" t="inlineStr">
        <is>
          <t>1.3.1.2</t>
        </is>
      </c>
      <c r="F15" s="16" t="inlineStr">
        <is>
          <t>Marco</t>
        </is>
      </c>
      <c r="G15" s="17" t="inlineStr">
        <is>
          <t>Executar Obras</t>
        </is>
      </c>
      <c r="H15" s="17" t="inlineStr">
        <is>
          <t>EPS</t>
        </is>
      </c>
      <c r="I15" s="16" t="n">
        <v>90811</v>
      </c>
      <c r="J15" s="17" t="inlineStr">
        <is>
          <t>Marco</t>
        </is>
      </c>
    </row>
    <row r="16" outlineLevel="1">
      <c r="A16" s="19" t="inlineStr">
        <is>
          <t>Fiscalização</t>
        </is>
      </c>
      <c r="B16" s="14">
        <f>Parâmetros!$B$7</f>
        <v/>
      </c>
      <c r="C16" s="15">
        <f>WORKDAY(D15,1,Feriados)</f>
        <v/>
      </c>
      <c r="D16" s="15">
        <f>C16+B16</f>
        <v/>
      </c>
      <c r="E16" s="16" t="inlineStr">
        <is>
          <t>1.3.1.3</t>
        </is>
      </c>
      <c r="F16" s="16" t="inlineStr">
        <is>
          <t>Atividade</t>
        </is>
      </c>
      <c r="G16" s="17" t="inlineStr">
        <is>
          <t>Obras Concluídas</t>
        </is>
      </c>
      <c r="H16" s="17" t="inlineStr">
        <is>
          <t>Fiscalização de obras (Resulta)</t>
        </is>
      </c>
      <c r="I16" s="16" t="n">
        <v>90811</v>
      </c>
      <c r="J16" s="17" t="inlineStr">
        <is>
          <t>PN 2026 – blocos RL/RT</t>
        </is>
      </c>
    </row>
    <row r="17" outlineLevel="1">
      <c r="A17" s="19" t="inlineStr">
        <is>
          <t>Cadastro EO/ Integração parcial</t>
        </is>
      </c>
      <c r="B17" s="14">
        <f>Parâmetros!$B$8</f>
        <v/>
      </c>
      <c r="C17" s="15">
        <f>WORKDAY(D16,1,Feriados)</f>
        <v/>
      </c>
      <c r="D17" s="15">
        <f>C17+B17</f>
        <v/>
      </c>
      <c r="E17" s="16" t="inlineStr">
        <is>
          <t>1.3.1.4</t>
        </is>
      </c>
      <c r="F17" s="16" t="inlineStr">
        <is>
          <t>Atividade</t>
        </is>
      </c>
      <c r="G17" s="17" t="inlineStr">
        <is>
          <t>Fiscalização</t>
        </is>
      </c>
      <c r="H17" s="17" t="inlineStr">
        <is>
          <t>DCMD (Cadastro EO/TS)</t>
        </is>
      </c>
      <c r="I17" s="16" t="n">
        <v>90811</v>
      </c>
      <c r="J17" s="17" t="inlineStr">
        <is>
          <t>PN 2026 – blocos RL/RT</t>
        </is>
      </c>
    </row>
    <row r="18" outlineLevel="1">
      <c r="A18" s="19" t="inlineStr">
        <is>
          <t>Entrega do TCI pela empreiteira / Integração final</t>
        </is>
      </c>
      <c r="B18" s="14">
        <f>Parâmetros!$B$9</f>
        <v/>
      </c>
      <c r="C18" s="15">
        <f>WORKDAY(D17,1,Feriados)</f>
        <v/>
      </c>
      <c r="D18" s="15">
        <f>C18+B18</f>
        <v/>
      </c>
      <c r="E18" s="16" t="inlineStr">
        <is>
          <t>1.3.1.5</t>
        </is>
      </c>
      <c r="F18" s="16" t="inlineStr">
        <is>
          <t>Atividade</t>
        </is>
      </c>
      <c r="G18" s="17" t="inlineStr">
        <is>
          <t>Cadastro EO</t>
        </is>
      </c>
      <c r="H18" s="17" t="inlineStr">
        <is>
          <t>EPS / DCMD</t>
        </is>
      </c>
      <c r="I18" s="16" t="n">
        <v>90811</v>
      </c>
      <c r="J18" s="17" t="inlineStr">
        <is>
          <t>PN 2026 – blocos RL/RT</t>
        </is>
      </c>
    </row>
    <row r="19" outlineLevel="1">
      <c r="A19" s="19" t="inlineStr">
        <is>
          <t>Abertura de chamado/ Atendimento GAT</t>
        </is>
      </c>
      <c r="B19" s="14">
        <f>Parâmetros!$B$10</f>
        <v/>
      </c>
      <c r="C19" s="15">
        <f>C18</f>
        <v/>
      </c>
      <c r="D19" s="15">
        <f>C19+B19</f>
        <v/>
      </c>
      <c r="E19" s="16" t="inlineStr">
        <is>
          <t>1.3.1.6</t>
        </is>
      </c>
      <c r="F19" s="16" t="inlineStr">
        <is>
          <t>Atividade</t>
        </is>
      </c>
      <c r="G19" s="17" t="inlineStr">
        <is>
          <t>TCI (início)</t>
        </is>
      </c>
      <c r="H19" s="17" t="inlineStr">
        <is>
          <t>DCMD / GAT</t>
        </is>
      </c>
      <c r="I19" s="16" t="n">
        <v>90811</v>
      </c>
      <c r="J19" s="17" t="inlineStr">
        <is>
          <t>PN 2026 – blocos RL/RT</t>
        </is>
      </c>
    </row>
    <row r="20" outlineLevel="1">
      <c r="A20" s="19" t="inlineStr">
        <is>
          <t>Comissionar Equipamentos</t>
        </is>
      </c>
      <c r="B20" s="14">
        <f>Parâmetros!$B$11</f>
        <v/>
      </c>
      <c r="C20" s="15">
        <f>C18</f>
        <v/>
      </c>
      <c r="D20" s="15">
        <f>C20+B20</f>
        <v/>
      </c>
      <c r="E20" s="16" t="inlineStr">
        <is>
          <t>1.3.1.7</t>
        </is>
      </c>
      <c r="F20" s="16" t="inlineStr">
        <is>
          <t>Atividade</t>
        </is>
      </c>
      <c r="G20" s="17" t="inlineStr">
        <is>
          <t>TCI (início)</t>
        </is>
      </c>
      <c r="H20" s="17" t="inlineStr">
        <is>
          <t>DMSL / DEOP (ajuste de proteção)</t>
        </is>
      </c>
      <c r="I20" s="16" t="n">
        <v>90811</v>
      </c>
      <c r="J20" s="17" t="inlineStr">
        <is>
          <t>PN 2026 – blocos RL/RT</t>
        </is>
      </c>
    </row>
    <row r="21" outlineLevel="1">
      <c r="A21" s="19" t="inlineStr">
        <is>
          <t>Equipamentos em Operação</t>
        </is>
      </c>
      <c r="B21" s="14" t="n">
        <v>0</v>
      </c>
      <c r="C21" s="15">
        <f>D20</f>
        <v/>
      </c>
      <c r="D21" s="15">
        <f>C21+B21</f>
        <v/>
      </c>
      <c r="E21" s="16" t="inlineStr">
        <is>
          <t>1.3.1.8</t>
        </is>
      </c>
      <c r="F21" s="16" t="inlineStr">
        <is>
          <t>Marco</t>
        </is>
      </c>
      <c r="G21" s="17" t="inlineStr">
        <is>
          <t>Comissionar Equip.</t>
        </is>
      </c>
      <c r="H21" s="17" t="inlineStr">
        <is>
          <t>DMSL / DEOP</t>
        </is>
      </c>
      <c r="I21" s="16" t="n">
        <v>90811</v>
      </c>
      <c r="J21" s="17" t="inlineStr">
        <is>
          <t>Marco = término do comissionamento</t>
        </is>
      </c>
    </row>
    <row r="22" outlineLevel="1">
      <c r="A22" s="19" t="inlineStr">
        <is>
          <t>Encerramento Técnico</t>
        </is>
      </c>
      <c r="B22" s="14">
        <f>Parâmetros!$B$12</f>
        <v/>
      </c>
      <c r="C22" s="15">
        <f>WORKDAY(D21,1,Feriados)</f>
        <v/>
      </c>
      <c r="D22" s="15">
        <f>WORKDAY(C22,B22,Feriados)</f>
        <v/>
      </c>
      <c r="E22" s="16" t="inlineStr">
        <is>
          <t>1.3.1.9</t>
        </is>
      </c>
      <c r="F22" s="16" t="inlineStr">
        <is>
          <t>Atividade</t>
        </is>
      </c>
      <c r="G22" s="17" t="inlineStr">
        <is>
          <t>Equip. em Operação</t>
        </is>
      </c>
      <c r="H22" s="17" t="inlineStr">
        <is>
          <t>DCMD (Encerramento Técnico)</t>
        </is>
      </c>
      <c r="I22" s="16" t="n">
        <v>90811</v>
      </c>
      <c r="J22" s="17" t="inlineStr">
        <is>
          <t>PN 2026 – blocos RL/RT (dias úteis)</t>
        </is>
      </c>
    </row>
    <row r="23" outlineLevel="1">
      <c r="A23" s="19" t="inlineStr">
        <is>
          <t>Encerramento Contábil</t>
        </is>
      </c>
      <c r="B23" s="14">
        <f>Parâmetros!$B$13</f>
        <v/>
      </c>
      <c r="C23" s="15">
        <f>WORKDAY(D22,1,Feriados)</f>
        <v/>
      </c>
      <c r="D23" s="15">
        <f>WORKDAY(C23,B23,Feriados)</f>
        <v/>
      </c>
      <c r="E23" s="16" t="inlineStr">
        <is>
          <t>1.3.1.10</t>
        </is>
      </c>
      <c r="F23" s="16" t="inlineStr">
        <is>
          <t>Atividade</t>
        </is>
      </c>
      <c r="G23" s="17" t="inlineStr">
        <is>
          <t>Encerramento Técnico</t>
        </is>
      </c>
      <c r="H23" s="17" t="inlineStr">
        <is>
          <t>DCMD / Contabilidade</t>
        </is>
      </c>
      <c r="I23" s="16" t="n">
        <v>90811</v>
      </c>
      <c r="J23" s="17" t="inlineStr">
        <is>
          <t>PN 2026 – blocos RL/RT (dias úteis)</t>
        </is>
      </c>
    </row>
    <row r="24">
      <c r="A24" s="18" t="inlineStr">
        <is>
          <t>Estudo de QS - LD Gurupi - Duere (91979)</t>
        </is>
      </c>
      <c r="B24" s="4">
        <f>D24-C24</f>
        <v/>
      </c>
      <c r="C24" s="5">
        <f>MIN(C25:C34)</f>
        <v/>
      </c>
      <c r="D24" s="5">
        <f>MAX(D25:D34)</f>
        <v/>
      </c>
      <c r="E24" s="6" t="inlineStr">
        <is>
          <t>1.3.2</t>
        </is>
      </c>
      <c r="F24" s="6" t="inlineStr">
        <is>
          <t>Pacote</t>
        </is>
      </c>
      <c r="G24" s="7" t="inlineStr"/>
      <c r="H24" s="7" t="inlineStr">
        <is>
          <t>GP Sandro Padilha</t>
        </is>
      </c>
      <c r="I24" s="6" t="n">
        <v>91979</v>
      </c>
      <c r="J24" s="7" t="inlineStr">
        <is>
          <t>1 RL rural 34,5 kV + 3 TripSaver</t>
        </is>
      </c>
    </row>
    <row r="25" outlineLevel="1">
      <c r="A25" s="19" t="inlineStr">
        <is>
          <t>Executar Obras</t>
        </is>
      </c>
      <c r="B25" s="14">
        <f>Parâmetros!$B$5</f>
        <v/>
      </c>
      <c r="C25" s="20" t="n">
        <v>46465</v>
      </c>
      <c r="D25" s="15">
        <f>C25+B25</f>
        <v/>
      </c>
      <c r="E25" s="16" t="inlineStr">
        <is>
          <t>1.3.2.1</t>
        </is>
      </c>
      <c r="F25" s="16" t="inlineStr">
        <is>
          <t>Atividade</t>
        </is>
      </c>
      <c r="G25" s="17" t="inlineStr">
        <is>
          <t>Início por meta de energização</t>
        </is>
      </c>
      <c r="H25" s="17" t="inlineStr">
        <is>
          <t>EPS (executora) / Supervisor de Obras DCMD</t>
        </is>
      </c>
      <c r="I25" s="16" t="n">
        <v>91979</v>
      </c>
      <c r="J25" s="17" t="inlineStr">
        <is>
          <t>PN 2026 – blocos RL/RT</t>
        </is>
      </c>
    </row>
    <row r="26" outlineLevel="1">
      <c r="A26" s="19" t="inlineStr">
        <is>
          <t>Obras Concluídas</t>
        </is>
      </c>
      <c r="B26" s="14" t="n">
        <v>0</v>
      </c>
      <c r="C26" s="15">
        <f>D25</f>
        <v/>
      </c>
      <c r="D26" s="15">
        <f>C26+B26</f>
        <v/>
      </c>
      <c r="E26" s="16" t="inlineStr">
        <is>
          <t>1.3.2.2</t>
        </is>
      </c>
      <c r="F26" s="16" t="inlineStr">
        <is>
          <t>Marco</t>
        </is>
      </c>
      <c r="G26" s="17" t="inlineStr">
        <is>
          <t>Executar Obras</t>
        </is>
      </c>
      <c r="H26" s="17" t="inlineStr">
        <is>
          <t>EPS</t>
        </is>
      </c>
      <c r="I26" s="16" t="n">
        <v>91979</v>
      </c>
      <c r="J26" s="17" t="inlineStr">
        <is>
          <t>Marco</t>
        </is>
      </c>
    </row>
    <row r="27" outlineLevel="1">
      <c r="A27" s="19" t="inlineStr">
        <is>
          <t>Fiscalização</t>
        </is>
      </c>
      <c r="B27" s="14">
        <f>Parâmetros!$B$7</f>
        <v/>
      </c>
      <c r="C27" s="15">
        <f>WORKDAY(D26,1,Feriados)</f>
        <v/>
      </c>
      <c r="D27" s="15">
        <f>C27+B27</f>
        <v/>
      </c>
      <c r="E27" s="16" t="inlineStr">
        <is>
          <t>1.3.2.3</t>
        </is>
      </c>
      <c r="F27" s="16" t="inlineStr">
        <is>
          <t>Atividade</t>
        </is>
      </c>
      <c r="G27" s="17" t="inlineStr">
        <is>
          <t>Obras Concluídas</t>
        </is>
      </c>
      <c r="H27" s="17" t="inlineStr">
        <is>
          <t>Fiscalização de obras (Resulta)</t>
        </is>
      </c>
      <c r="I27" s="16" t="n">
        <v>91979</v>
      </c>
      <c r="J27" s="17" t="inlineStr">
        <is>
          <t>PN 2026 – blocos RL/RT</t>
        </is>
      </c>
    </row>
    <row r="28" outlineLevel="1">
      <c r="A28" s="19" t="inlineStr">
        <is>
          <t>Cadastro EO/ Integração parcial</t>
        </is>
      </c>
      <c r="B28" s="14">
        <f>Parâmetros!$B$8</f>
        <v/>
      </c>
      <c r="C28" s="15">
        <f>WORKDAY(D27,1,Feriados)</f>
        <v/>
      </c>
      <c r="D28" s="15">
        <f>C28+B28</f>
        <v/>
      </c>
      <c r="E28" s="16" t="inlineStr">
        <is>
          <t>1.3.2.4</t>
        </is>
      </c>
      <c r="F28" s="16" t="inlineStr">
        <is>
          <t>Atividade</t>
        </is>
      </c>
      <c r="G28" s="17" t="inlineStr">
        <is>
          <t>Fiscalização</t>
        </is>
      </c>
      <c r="H28" s="17" t="inlineStr">
        <is>
          <t>DCMD (Cadastro EO/TS)</t>
        </is>
      </c>
      <c r="I28" s="16" t="n">
        <v>91979</v>
      </c>
      <c r="J28" s="17" t="inlineStr">
        <is>
          <t>PN 2026 – blocos RL/RT</t>
        </is>
      </c>
    </row>
    <row r="29" outlineLevel="1">
      <c r="A29" s="19" t="inlineStr">
        <is>
          <t>Entrega do TCI pela empreiteira / Integração final</t>
        </is>
      </c>
      <c r="B29" s="14">
        <f>Parâmetros!$B$9</f>
        <v/>
      </c>
      <c r="C29" s="15">
        <f>WORKDAY(D28,1,Feriados)</f>
        <v/>
      </c>
      <c r="D29" s="15">
        <f>C29+B29</f>
        <v/>
      </c>
      <c r="E29" s="16" t="inlineStr">
        <is>
          <t>1.3.2.5</t>
        </is>
      </c>
      <c r="F29" s="16" t="inlineStr">
        <is>
          <t>Atividade</t>
        </is>
      </c>
      <c r="G29" s="17" t="inlineStr">
        <is>
          <t>Cadastro EO</t>
        </is>
      </c>
      <c r="H29" s="17" t="inlineStr">
        <is>
          <t>EPS / DCMD</t>
        </is>
      </c>
      <c r="I29" s="16" t="n">
        <v>91979</v>
      </c>
      <c r="J29" s="17" t="inlineStr">
        <is>
          <t>PN 2026 – blocos RL/RT</t>
        </is>
      </c>
    </row>
    <row r="30" outlineLevel="1">
      <c r="A30" s="19" t="inlineStr">
        <is>
          <t>Abertura de chamado/ Atendimento GAT</t>
        </is>
      </c>
      <c r="B30" s="14">
        <f>Parâmetros!$B$10</f>
        <v/>
      </c>
      <c r="C30" s="15">
        <f>C29</f>
        <v/>
      </c>
      <c r="D30" s="15">
        <f>C30+B30</f>
        <v/>
      </c>
      <c r="E30" s="16" t="inlineStr">
        <is>
          <t>1.3.2.6</t>
        </is>
      </c>
      <c r="F30" s="16" t="inlineStr">
        <is>
          <t>Atividade</t>
        </is>
      </c>
      <c r="G30" s="17" t="inlineStr">
        <is>
          <t>TCI (início)</t>
        </is>
      </c>
      <c r="H30" s="17" t="inlineStr">
        <is>
          <t>DCMD / GAT</t>
        </is>
      </c>
      <c r="I30" s="16" t="n">
        <v>91979</v>
      </c>
      <c r="J30" s="17" t="inlineStr">
        <is>
          <t>PN 2026 – blocos RL/RT</t>
        </is>
      </c>
    </row>
    <row r="31" outlineLevel="1">
      <c r="A31" s="19" t="inlineStr">
        <is>
          <t>Comissionar Equipamentos</t>
        </is>
      </c>
      <c r="B31" s="14">
        <f>Parâmetros!$B$11</f>
        <v/>
      </c>
      <c r="C31" s="15">
        <f>C29</f>
        <v/>
      </c>
      <c r="D31" s="15">
        <f>C31+B31</f>
        <v/>
      </c>
      <c r="E31" s="16" t="inlineStr">
        <is>
          <t>1.3.2.7</t>
        </is>
      </c>
      <c r="F31" s="16" t="inlineStr">
        <is>
          <t>Atividade</t>
        </is>
      </c>
      <c r="G31" s="17" t="inlineStr">
        <is>
          <t>TCI (início)</t>
        </is>
      </c>
      <c r="H31" s="17" t="inlineStr">
        <is>
          <t>DMSL / DEOP (ajuste de proteção)</t>
        </is>
      </c>
      <c r="I31" s="16" t="n">
        <v>91979</v>
      </c>
      <c r="J31" s="17" t="inlineStr">
        <is>
          <t>PN 2026 – blocos RL/RT</t>
        </is>
      </c>
    </row>
    <row r="32" outlineLevel="1">
      <c r="A32" s="19" t="inlineStr">
        <is>
          <t>Equipamentos em Operação</t>
        </is>
      </c>
      <c r="B32" s="14" t="n">
        <v>0</v>
      </c>
      <c r="C32" s="15">
        <f>D31</f>
        <v/>
      </c>
      <c r="D32" s="15">
        <f>C32+B32</f>
        <v/>
      </c>
      <c r="E32" s="16" t="inlineStr">
        <is>
          <t>1.3.2.8</t>
        </is>
      </c>
      <c r="F32" s="16" t="inlineStr">
        <is>
          <t>Marco</t>
        </is>
      </c>
      <c r="G32" s="17" t="inlineStr">
        <is>
          <t>Comissionar Equip.</t>
        </is>
      </c>
      <c r="H32" s="17" t="inlineStr">
        <is>
          <t>DMSL / DEOP</t>
        </is>
      </c>
      <c r="I32" s="16" t="n">
        <v>91979</v>
      </c>
      <c r="J32" s="17" t="inlineStr">
        <is>
          <t>Marco = término do comissionamento</t>
        </is>
      </c>
    </row>
    <row r="33" outlineLevel="1">
      <c r="A33" s="19" t="inlineStr">
        <is>
          <t>Encerramento Técnico</t>
        </is>
      </c>
      <c r="B33" s="14">
        <f>Parâmetros!$B$12</f>
        <v/>
      </c>
      <c r="C33" s="15">
        <f>WORKDAY(D32,1,Feriados)</f>
        <v/>
      </c>
      <c r="D33" s="15">
        <f>WORKDAY(C33,B33,Feriados)</f>
        <v/>
      </c>
      <c r="E33" s="16" t="inlineStr">
        <is>
          <t>1.3.2.9</t>
        </is>
      </c>
      <c r="F33" s="16" t="inlineStr">
        <is>
          <t>Atividade</t>
        </is>
      </c>
      <c r="G33" s="17" t="inlineStr">
        <is>
          <t>Equip. em Operação</t>
        </is>
      </c>
      <c r="H33" s="17" t="inlineStr">
        <is>
          <t>DCMD (Encerramento Técnico)</t>
        </is>
      </c>
      <c r="I33" s="16" t="n">
        <v>91979</v>
      </c>
      <c r="J33" s="17" t="inlineStr">
        <is>
          <t>PN 2026 – blocos RL/RT (dias úteis)</t>
        </is>
      </c>
    </row>
    <row r="34" outlineLevel="1">
      <c r="A34" s="19" t="inlineStr">
        <is>
          <t>Encerramento Contábil</t>
        </is>
      </c>
      <c r="B34" s="14">
        <f>Parâmetros!$B$13</f>
        <v/>
      </c>
      <c r="C34" s="15">
        <f>WORKDAY(D33,1,Feriados)</f>
        <v/>
      </c>
      <c r="D34" s="15">
        <f>WORKDAY(C34,B34,Feriados)</f>
        <v/>
      </c>
      <c r="E34" s="16" t="inlineStr">
        <is>
          <t>1.3.2.10</t>
        </is>
      </c>
      <c r="F34" s="16" t="inlineStr">
        <is>
          <t>Atividade</t>
        </is>
      </c>
      <c r="G34" s="17" t="inlineStr">
        <is>
          <t>Encerramento Técnico</t>
        </is>
      </c>
      <c r="H34" s="17" t="inlineStr">
        <is>
          <t>DCMD / Contabilidade</t>
        </is>
      </c>
      <c r="I34" s="16" t="n">
        <v>91979</v>
      </c>
      <c r="J34" s="17" t="inlineStr">
        <is>
          <t>PN 2026 – blocos RL/RT (dias úteis)</t>
        </is>
      </c>
    </row>
    <row r="35">
      <c r="A35" s="18" t="inlineStr">
        <is>
          <t>Estudo de QS - 4 de Araguaína IV (92118)</t>
        </is>
      </c>
      <c r="B35" s="4">
        <f>D35-C35</f>
        <v/>
      </c>
      <c r="C35" s="5">
        <f>MIN(C36:C45)</f>
        <v/>
      </c>
      <c r="D35" s="5">
        <f>MAX(D36:D45)</f>
        <v/>
      </c>
      <c r="E35" s="6" t="inlineStr">
        <is>
          <t>1.3.3</t>
        </is>
      </c>
      <c r="F35" s="6" t="inlineStr">
        <is>
          <t>Pacote</t>
        </is>
      </c>
      <c r="G35" s="7" t="inlineStr"/>
      <c r="H35" s="7" t="inlineStr">
        <is>
          <t>GP Sandro Padilha</t>
        </is>
      </c>
      <c r="I35" s="6" t="n">
        <v>92118</v>
      </c>
      <c r="J35" s="7" t="inlineStr">
        <is>
          <t>1 RL automático 13,8 kV</t>
        </is>
      </c>
    </row>
    <row r="36" outlineLevel="1">
      <c r="A36" s="19" t="inlineStr">
        <is>
          <t>Executar Obras</t>
        </is>
      </c>
      <c r="B36" s="14">
        <f>Parâmetros!$B$5</f>
        <v/>
      </c>
      <c r="C36" s="20" t="n">
        <v>46465</v>
      </c>
      <c r="D36" s="15">
        <f>C36+B36</f>
        <v/>
      </c>
      <c r="E36" s="16" t="inlineStr">
        <is>
          <t>1.3.3.1</t>
        </is>
      </c>
      <c r="F36" s="16" t="inlineStr">
        <is>
          <t>Atividade</t>
        </is>
      </c>
      <c r="G36" s="17" t="inlineStr">
        <is>
          <t>Início por meta de energização</t>
        </is>
      </c>
      <c r="H36" s="17" t="inlineStr">
        <is>
          <t>EPS (executora) / Supervisor de Obras DCMD</t>
        </is>
      </c>
      <c r="I36" s="16" t="n">
        <v>92118</v>
      </c>
      <c r="J36" s="17" t="inlineStr">
        <is>
          <t>PN 2026 – blocos RL/RT</t>
        </is>
      </c>
    </row>
    <row r="37" outlineLevel="1">
      <c r="A37" s="19" t="inlineStr">
        <is>
          <t>Obras Concluídas</t>
        </is>
      </c>
      <c r="B37" s="14" t="n">
        <v>0</v>
      </c>
      <c r="C37" s="15">
        <f>D36</f>
        <v/>
      </c>
      <c r="D37" s="15">
        <f>C37+B37</f>
        <v/>
      </c>
      <c r="E37" s="16" t="inlineStr">
        <is>
          <t>1.3.3.2</t>
        </is>
      </c>
      <c r="F37" s="16" t="inlineStr">
        <is>
          <t>Marco</t>
        </is>
      </c>
      <c r="G37" s="17" t="inlineStr">
        <is>
          <t>Executar Obras</t>
        </is>
      </c>
      <c r="H37" s="17" t="inlineStr">
        <is>
          <t>EPS</t>
        </is>
      </c>
      <c r="I37" s="16" t="n">
        <v>92118</v>
      </c>
      <c r="J37" s="17" t="inlineStr">
        <is>
          <t>Marco</t>
        </is>
      </c>
    </row>
    <row r="38" outlineLevel="1">
      <c r="A38" s="19" t="inlineStr">
        <is>
          <t>Fiscalização</t>
        </is>
      </c>
      <c r="B38" s="14">
        <f>Parâmetros!$B$7</f>
        <v/>
      </c>
      <c r="C38" s="15">
        <f>WORKDAY(D37,1,Feriados)</f>
        <v/>
      </c>
      <c r="D38" s="15">
        <f>C38+B38</f>
        <v/>
      </c>
      <c r="E38" s="16" t="inlineStr">
        <is>
          <t>1.3.3.3</t>
        </is>
      </c>
      <c r="F38" s="16" t="inlineStr">
        <is>
          <t>Atividade</t>
        </is>
      </c>
      <c r="G38" s="17" t="inlineStr">
        <is>
          <t>Obras Concluídas</t>
        </is>
      </c>
      <c r="H38" s="17" t="inlineStr">
        <is>
          <t>Fiscalização de obras (Resulta)</t>
        </is>
      </c>
      <c r="I38" s="16" t="n">
        <v>92118</v>
      </c>
      <c r="J38" s="17" t="inlineStr">
        <is>
          <t>PN 2026 – blocos RL/RT</t>
        </is>
      </c>
    </row>
    <row r="39" outlineLevel="1">
      <c r="A39" s="19" t="inlineStr">
        <is>
          <t>Cadastro EO/ Integração parcial</t>
        </is>
      </c>
      <c r="B39" s="14">
        <f>Parâmetros!$B$8</f>
        <v/>
      </c>
      <c r="C39" s="15">
        <f>WORKDAY(D38,1,Feriados)</f>
        <v/>
      </c>
      <c r="D39" s="15">
        <f>C39+B39</f>
        <v/>
      </c>
      <c r="E39" s="16" t="inlineStr">
        <is>
          <t>1.3.3.4</t>
        </is>
      </c>
      <c r="F39" s="16" t="inlineStr">
        <is>
          <t>Atividade</t>
        </is>
      </c>
      <c r="G39" s="17" t="inlineStr">
        <is>
          <t>Fiscalização</t>
        </is>
      </c>
      <c r="H39" s="17" t="inlineStr">
        <is>
          <t>DCMD (Cadastro EO/TS)</t>
        </is>
      </c>
      <c r="I39" s="16" t="n">
        <v>92118</v>
      </c>
      <c r="J39" s="17" t="inlineStr">
        <is>
          <t>PN 2026 – blocos RL/RT</t>
        </is>
      </c>
    </row>
    <row r="40" outlineLevel="1">
      <c r="A40" s="19" t="inlineStr">
        <is>
          <t>Entrega do TCI pela empreiteira / Integração final</t>
        </is>
      </c>
      <c r="B40" s="14">
        <f>Parâmetros!$B$9</f>
        <v/>
      </c>
      <c r="C40" s="15">
        <f>WORKDAY(D39,1,Feriados)</f>
        <v/>
      </c>
      <c r="D40" s="15">
        <f>C40+B40</f>
        <v/>
      </c>
      <c r="E40" s="16" t="inlineStr">
        <is>
          <t>1.3.3.5</t>
        </is>
      </c>
      <c r="F40" s="16" t="inlineStr">
        <is>
          <t>Atividade</t>
        </is>
      </c>
      <c r="G40" s="17" t="inlineStr">
        <is>
          <t>Cadastro EO</t>
        </is>
      </c>
      <c r="H40" s="17" t="inlineStr">
        <is>
          <t>EPS / DCMD</t>
        </is>
      </c>
      <c r="I40" s="16" t="n">
        <v>92118</v>
      </c>
      <c r="J40" s="17" t="inlineStr">
        <is>
          <t>PN 2026 – blocos RL/RT</t>
        </is>
      </c>
    </row>
    <row r="41" outlineLevel="1">
      <c r="A41" s="19" t="inlineStr">
        <is>
          <t>Abertura de chamado/ Atendimento GAT</t>
        </is>
      </c>
      <c r="B41" s="14">
        <f>Parâmetros!$B$10</f>
        <v/>
      </c>
      <c r="C41" s="15">
        <f>C40</f>
        <v/>
      </c>
      <c r="D41" s="15">
        <f>C41+B41</f>
        <v/>
      </c>
      <c r="E41" s="16" t="inlineStr">
        <is>
          <t>1.3.3.6</t>
        </is>
      </c>
      <c r="F41" s="16" t="inlineStr">
        <is>
          <t>Atividade</t>
        </is>
      </c>
      <c r="G41" s="17" t="inlineStr">
        <is>
          <t>TCI (início)</t>
        </is>
      </c>
      <c r="H41" s="17" t="inlineStr">
        <is>
          <t>DCMD / GAT</t>
        </is>
      </c>
      <c r="I41" s="16" t="n">
        <v>92118</v>
      </c>
      <c r="J41" s="17" t="inlineStr">
        <is>
          <t>PN 2026 – blocos RL/RT</t>
        </is>
      </c>
    </row>
    <row r="42" outlineLevel="1">
      <c r="A42" s="19" t="inlineStr">
        <is>
          <t>Comissionar Equipamentos</t>
        </is>
      </c>
      <c r="B42" s="14">
        <f>Parâmetros!$B$11</f>
        <v/>
      </c>
      <c r="C42" s="15">
        <f>C40</f>
        <v/>
      </c>
      <c r="D42" s="15">
        <f>C42+B42</f>
        <v/>
      </c>
      <c r="E42" s="16" t="inlineStr">
        <is>
          <t>1.3.3.7</t>
        </is>
      </c>
      <c r="F42" s="16" t="inlineStr">
        <is>
          <t>Atividade</t>
        </is>
      </c>
      <c r="G42" s="17" t="inlineStr">
        <is>
          <t>TCI (início)</t>
        </is>
      </c>
      <c r="H42" s="17" t="inlineStr">
        <is>
          <t>DMSL / DEOP (ajuste de proteção)</t>
        </is>
      </c>
      <c r="I42" s="16" t="n">
        <v>92118</v>
      </c>
      <c r="J42" s="17" t="inlineStr">
        <is>
          <t>PN 2026 – blocos RL/RT</t>
        </is>
      </c>
    </row>
    <row r="43" outlineLevel="1">
      <c r="A43" s="19" t="inlineStr">
        <is>
          <t>Equipamentos em Operação</t>
        </is>
      </c>
      <c r="B43" s="14" t="n">
        <v>0</v>
      </c>
      <c r="C43" s="15">
        <f>D42</f>
        <v/>
      </c>
      <c r="D43" s="15">
        <f>C43+B43</f>
        <v/>
      </c>
      <c r="E43" s="16" t="inlineStr">
        <is>
          <t>1.3.3.8</t>
        </is>
      </c>
      <c r="F43" s="16" t="inlineStr">
        <is>
          <t>Marco</t>
        </is>
      </c>
      <c r="G43" s="17" t="inlineStr">
        <is>
          <t>Comissionar Equip.</t>
        </is>
      </c>
      <c r="H43" s="17" t="inlineStr">
        <is>
          <t>DMSL / DEOP</t>
        </is>
      </c>
      <c r="I43" s="16" t="n">
        <v>92118</v>
      </c>
      <c r="J43" s="17" t="inlineStr">
        <is>
          <t>Marco = término do comissionamento</t>
        </is>
      </c>
    </row>
    <row r="44" outlineLevel="1">
      <c r="A44" s="19" t="inlineStr">
        <is>
          <t>Encerramento Técnico</t>
        </is>
      </c>
      <c r="B44" s="14">
        <f>Parâmetros!$B$12</f>
        <v/>
      </c>
      <c r="C44" s="15">
        <f>WORKDAY(D43,1,Feriados)</f>
        <v/>
      </c>
      <c r="D44" s="15">
        <f>WORKDAY(C44,B44,Feriados)</f>
        <v/>
      </c>
      <c r="E44" s="16" t="inlineStr">
        <is>
          <t>1.3.3.9</t>
        </is>
      </c>
      <c r="F44" s="16" t="inlineStr">
        <is>
          <t>Atividade</t>
        </is>
      </c>
      <c r="G44" s="17" t="inlineStr">
        <is>
          <t>Equip. em Operação</t>
        </is>
      </c>
      <c r="H44" s="17" t="inlineStr">
        <is>
          <t>DCMD (Encerramento Técnico)</t>
        </is>
      </c>
      <c r="I44" s="16" t="n">
        <v>92118</v>
      </c>
      <c r="J44" s="17" t="inlineStr">
        <is>
          <t>PN 2026 – blocos RL/RT (dias úteis)</t>
        </is>
      </c>
    </row>
    <row r="45" outlineLevel="1">
      <c r="A45" s="19" t="inlineStr">
        <is>
          <t>Encerramento Contábil</t>
        </is>
      </c>
      <c r="B45" s="14">
        <f>Parâmetros!$B$13</f>
        <v/>
      </c>
      <c r="C45" s="15">
        <f>WORKDAY(D44,1,Feriados)</f>
        <v/>
      </c>
      <c r="D45" s="15">
        <f>WORKDAY(C45,B45,Feriados)</f>
        <v/>
      </c>
      <c r="E45" s="16" t="inlineStr">
        <is>
          <t>1.3.3.10</t>
        </is>
      </c>
      <c r="F45" s="16" t="inlineStr">
        <is>
          <t>Atividade</t>
        </is>
      </c>
      <c r="G45" s="17" t="inlineStr">
        <is>
          <t>Encerramento Técnico</t>
        </is>
      </c>
      <c r="H45" s="17" t="inlineStr">
        <is>
          <t>DCMD / Contabilidade</t>
        </is>
      </c>
      <c r="I45" s="16" t="n">
        <v>92118</v>
      </c>
      <c r="J45" s="17" t="inlineStr">
        <is>
          <t>PN 2026 – blocos RL/RT (dias úteis)</t>
        </is>
      </c>
    </row>
    <row r="46">
      <c r="A46" s="18" t="inlineStr">
        <is>
          <t>Instalação de RT - LD Xambioá II - Araguanã - 2XB2 - QP (89267)</t>
        </is>
      </c>
      <c r="B46" s="4">
        <f>D46-C46</f>
        <v/>
      </c>
      <c r="C46" s="5">
        <f>MIN(C47:C56)</f>
        <v/>
      </c>
      <c r="D46" s="5">
        <f>MAX(D47:D56)</f>
        <v/>
      </c>
      <c r="E46" s="6" t="inlineStr">
        <is>
          <t>1.3.4</t>
        </is>
      </c>
      <c r="F46" s="6" t="inlineStr">
        <is>
          <t>Pacote</t>
        </is>
      </c>
      <c r="G46" s="7" t="inlineStr"/>
      <c r="H46" s="7" t="inlineStr">
        <is>
          <t>GP Sandro Padilha</t>
        </is>
      </c>
      <c r="I46" s="6" t="n">
        <v>89267</v>
      </c>
      <c r="J46" s="7" t="inlineStr">
        <is>
          <t>2 RT 34,5 kV</t>
        </is>
      </c>
    </row>
    <row r="47" outlineLevel="1">
      <c r="A47" s="19" t="inlineStr">
        <is>
          <t>Executar Obras</t>
        </is>
      </c>
      <c r="B47" s="14">
        <f>Parâmetros!$B$5</f>
        <v/>
      </c>
      <c r="C47" s="20" t="n">
        <v>46465</v>
      </c>
      <c r="D47" s="15">
        <f>C47+B47</f>
        <v/>
      </c>
      <c r="E47" s="16" t="inlineStr">
        <is>
          <t>1.3.4.1</t>
        </is>
      </c>
      <c r="F47" s="16" t="inlineStr">
        <is>
          <t>Atividade</t>
        </is>
      </c>
      <c r="G47" s="17" t="inlineStr">
        <is>
          <t>Início por meta de energização</t>
        </is>
      </c>
      <c r="H47" s="17" t="inlineStr">
        <is>
          <t>EPS (executora) / Supervisor de Obras DCMD</t>
        </is>
      </c>
      <c r="I47" s="16" t="n">
        <v>89267</v>
      </c>
      <c r="J47" s="17" t="inlineStr">
        <is>
          <t>PN 2026 – blocos RL/RT</t>
        </is>
      </c>
    </row>
    <row r="48" outlineLevel="1">
      <c r="A48" s="19" t="inlineStr">
        <is>
          <t>Obras Concluídas</t>
        </is>
      </c>
      <c r="B48" s="14" t="n">
        <v>0</v>
      </c>
      <c r="C48" s="15">
        <f>D47</f>
        <v/>
      </c>
      <c r="D48" s="15">
        <f>C48+B48</f>
        <v/>
      </c>
      <c r="E48" s="16" t="inlineStr">
        <is>
          <t>1.3.4.2</t>
        </is>
      </c>
      <c r="F48" s="16" t="inlineStr">
        <is>
          <t>Marco</t>
        </is>
      </c>
      <c r="G48" s="17" t="inlineStr">
        <is>
          <t>Executar Obras</t>
        </is>
      </c>
      <c r="H48" s="17" t="inlineStr">
        <is>
          <t>EPS</t>
        </is>
      </c>
      <c r="I48" s="16" t="n">
        <v>89267</v>
      </c>
      <c r="J48" s="17" t="inlineStr">
        <is>
          <t>Marco</t>
        </is>
      </c>
    </row>
    <row r="49" outlineLevel="1">
      <c r="A49" s="19" t="inlineStr">
        <is>
          <t>Fiscalização</t>
        </is>
      </c>
      <c r="B49" s="14">
        <f>Parâmetros!$B$7</f>
        <v/>
      </c>
      <c r="C49" s="15">
        <f>WORKDAY(D48,1,Feriados)</f>
        <v/>
      </c>
      <c r="D49" s="15">
        <f>C49+B49</f>
        <v/>
      </c>
      <c r="E49" s="16" t="inlineStr">
        <is>
          <t>1.3.4.3</t>
        </is>
      </c>
      <c r="F49" s="16" t="inlineStr">
        <is>
          <t>Atividade</t>
        </is>
      </c>
      <c r="G49" s="17" t="inlineStr">
        <is>
          <t>Obras Concluídas</t>
        </is>
      </c>
      <c r="H49" s="17" t="inlineStr">
        <is>
          <t>Fiscalização de obras (Resulta)</t>
        </is>
      </c>
      <c r="I49" s="16" t="n">
        <v>89267</v>
      </c>
      <c r="J49" s="17" t="inlineStr">
        <is>
          <t>PN 2026 – blocos RL/RT</t>
        </is>
      </c>
    </row>
    <row r="50" outlineLevel="1">
      <c r="A50" s="19" t="inlineStr">
        <is>
          <t>Cadastro EO/ Integração parcial</t>
        </is>
      </c>
      <c r="B50" s="14">
        <f>Parâmetros!$B$8</f>
        <v/>
      </c>
      <c r="C50" s="15">
        <f>WORKDAY(D49,1,Feriados)</f>
        <v/>
      </c>
      <c r="D50" s="15">
        <f>C50+B50</f>
        <v/>
      </c>
      <c r="E50" s="16" t="inlineStr">
        <is>
          <t>1.3.4.4</t>
        </is>
      </c>
      <c r="F50" s="16" t="inlineStr">
        <is>
          <t>Atividade</t>
        </is>
      </c>
      <c r="G50" s="17" t="inlineStr">
        <is>
          <t>Fiscalização</t>
        </is>
      </c>
      <c r="H50" s="17" t="inlineStr">
        <is>
          <t>DCMD (Cadastro EO/TS)</t>
        </is>
      </c>
      <c r="I50" s="16" t="n">
        <v>89267</v>
      </c>
      <c r="J50" s="17" t="inlineStr">
        <is>
          <t>PN 2026 – blocos RL/RT</t>
        </is>
      </c>
    </row>
    <row r="51" outlineLevel="1">
      <c r="A51" s="19" t="inlineStr">
        <is>
          <t>Entrega do TCI pela empreiteira / Integração final</t>
        </is>
      </c>
      <c r="B51" s="14">
        <f>Parâmetros!$B$9</f>
        <v/>
      </c>
      <c r="C51" s="15">
        <f>WORKDAY(D50,1,Feriados)</f>
        <v/>
      </c>
      <c r="D51" s="15">
        <f>C51+B51</f>
        <v/>
      </c>
      <c r="E51" s="16" t="inlineStr">
        <is>
          <t>1.3.4.5</t>
        </is>
      </c>
      <c r="F51" s="16" t="inlineStr">
        <is>
          <t>Atividade</t>
        </is>
      </c>
      <c r="G51" s="17" t="inlineStr">
        <is>
          <t>Cadastro EO</t>
        </is>
      </c>
      <c r="H51" s="17" t="inlineStr">
        <is>
          <t>EPS / DCMD</t>
        </is>
      </c>
      <c r="I51" s="16" t="n">
        <v>89267</v>
      </c>
      <c r="J51" s="17" t="inlineStr">
        <is>
          <t>PN 2026 – blocos RL/RT</t>
        </is>
      </c>
    </row>
    <row r="52" outlineLevel="1">
      <c r="A52" s="19" t="inlineStr">
        <is>
          <t>Abertura de chamado/ Atendimento GAT</t>
        </is>
      </c>
      <c r="B52" s="14">
        <f>Parâmetros!$B$10</f>
        <v/>
      </c>
      <c r="C52" s="15">
        <f>C51</f>
        <v/>
      </c>
      <c r="D52" s="15">
        <f>C52+B52</f>
        <v/>
      </c>
      <c r="E52" s="16" t="inlineStr">
        <is>
          <t>1.3.4.6</t>
        </is>
      </c>
      <c r="F52" s="16" t="inlineStr">
        <is>
          <t>Atividade</t>
        </is>
      </c>
      <c r="G52" s="17" t="inlineStr">
        <is>
          <t>TCI (início)</t>
        </is>
      </c>
      <c r="H52" s="17" t="inlineStr">
        <is>
          <t>DCMD / GAT</t>
        </is>
      </c>
      <c r="I52" s="16" t="n">
        <v>89267</v>
      </c>
      <c r="J52" s="17" t="inlineStr">
        <is>
          <t>PN 2026 – blocos RL/RT</t>
        </is>
      </c>
    </row>
    <row r="53" outlineLevel="1">
      <c r="A53" s="19" t="inlineStr">
        <is>
          <t>Comissionar Equipamentos</t>
        </is>
      </c>
      <c r="B53" s="14">
        <f>Parâmetros!$B$11</f>
        <v/>
      </c>
      <c r="C53" s="15">
        <f>C51</f>
        <v/>
      </c>
      <c r="D53" s="15">
        <f>C53+B53</f>
        <v/>
      </c>
      <c r="E53" s="16" t="inlineStr">
        <is>
          <t>1.3.4.7</t>
        </is>
      </c>
      <c r="F53" s="16" t="inlineStr">
        <is>
          <t>Atividade</t>
        </is>
      </c>
      <c r="G53" s="17" t="inlineStr">
        <is>
          <t>TCI (início)</t>
        </is>
      </c>
      <c r="H53" s="17" t="inlineStr">
        <is>
          <t>DMSL / DEOP (ajuste de proteção)</t>
        </is>
      </c>
      <c r="I53" s="16" t="n">
        <v>89267</v>
      </c>
      <c r="J53" s="17" t="inlineStr">
        <is>
          <t>PN 2026 – blocos RL/RT</t>
        </is>
      </c>
    </row>
    <row r="54" outlineLevel="1">
      <c r="A54" s="19" t="inlineStr">
        <is>
          <t>Equipamentos em Operação</t>
        </is>
      </c>
      <c r="B54" s="14" t="n">
        <v>0</v>
      </c>
      <c r="C54" s="15">
        <f>D53</f>
        <v/>
      </c>
      <c r="D54" s="15">
        <f>C54+B54</f>
        <v/>
      </c>
      <c r="E54" s="16" t="inlineStr">
        <is>
          <t>1.3.4.8</t>
        </is>
      </c>
      <c r="F54" s="16" t="inlineStr">
        <is>
          <t>Marco</t>
        </is>
      </c>
      <c r="G54" s="17" t="inlineStr">
        <is>
          <t>Comissionar Equip.</t>
        </is>
      </c>
      <c r="H54" s="17" t="inlineStr">
        <is>
          <t>DMSL / DEOP</t>
        </is>
      </c>
      <c r="I54" s="16" t="n">
        <v>89267</v>
      </c>
      <c r="J54" s="17" t="inlineStr">
        <is>
          <t>Marco = término do comissionamento</t>
        </is>
      </c>
    </row>
    <row r="55" outlineLevel="1">
      <c r="A55" s="19" t="inlineStr">
        <is>
          <t>Encerramento Técnico</t>
        </is>
      </c>
      <c r="B55" s="14">
        <f>Parâmetros!$B$12</f>
        <v/>
      </c>
      <c r="C55" s="15">
        <f>WORKDAY(D54,1,Feriados)</f>
        <v/>
      </c>
      <c r="D55" s="15">
        <f>WORKDAY(C55,B55,Feriados)</f>
        <v/>
      </c>
      <c r="E55" s="16" t="inlineStr">
        <is>
          <t>1.3.4.9</t>
        </is>
      </c>
      <c r="F55" s="16" t="inlineStr">
        <is>
          <t>Atividade</t>
        </is>
      </c>
      <c r="G55" s="17" t="inlineStr">
        <is>
          <t>Equip. em Operação</t>
        </is>
      </c>
      <c r="H55" s="17" t="inlineStr">
        <is>
          <t>DCMD (Encerramento Técnico)</t>
        </is>
      </c>
      <c r="I55" s="16" t="n">
        <v>89267</v>
      </c>
      <c r="J55" s="17" t="inlineStr">
        <is>
          <t>PN 2026 – blocos RL/RT (dias úteis)</t>
        </is>
      </c>
    </row>
    <row r="56" outlineLevel="1">
      <c r="A56" s="19" t="inlineStr">
        <is>
          <t>Encerramento Contábil</t>
        </is>
      </c>
      <c r="B56" s="14">
        <f>Parâmetros!$B$13</f>
        <v/>
      </c>
      <c r="C56" s="15">
        <f>WORKDAY(D55,1,Feriados)</f>
        <v/>
      </c>
      <c r="D56" s="15">
        <f>WORKDAY(C56,B56,Feriados)</f>
        <v/>
      </c>
      <c r="E56" s="16" t="inlineStr">
        <is>
          <t>1.3.4.10</t>
        </is>
      </c>
      <c r="F56" s="16" t="inlineStr">
        <is>
          <t>Atividade</t>
        </is>
      </c>
      <c r="G56" s="17" t="inlineStr">
        <is>
          <t>Encerramento Técnico</t>
        </is>
      </c>
      <c r="H56" s="17" t="inlineStr">
        <is>
          <t>DCMD / Contabilidade</t>
        </is>
      </c>
      <c r="I56" s="16" t="n">
        <v>89267</v>
      </c>
      <c r="J56" s="17" t="inlineStr">
        <is>
          <t>PN 2026 – blocos RL/RT (dias úteis)</t>
        </is>
      </c>
    </row>
    <row r="57">
      <c r="A57" s="18" t="inlineStr">
        <is>
          <t>Estudo de QS - LD Palmas - Aparecida do Rio Negro (92094)</t>
        </is>
      </c>
      <c r="B57" s="4">
        <f>D57-C57</f>
        <v/>
      </c>
      <c r="C57" s="5">
        <f>MIN(C58:C67)</f>
        <v/>
      </c>
      <c r="D57" s="5">
        <f>MAX(D58:D67)</f>
        <v/>
      </c>
      <c r="E57" s="6" t="inlineStr">
        <is>
          <t>1.3.5</t>
        </is>
      </c>
      <c r="F57" s="6" t="inlineStr">
        <is>
          <t>Pacote</t>
        </is>
      </c>
      <c r="G57" s="7" t="inlineStr"/>
      <c r="H57" s="7" t="inlineStr">
        <is>
          <t>GP Sandro Padilha</t>
        </is>
      </c>
      <c r="I57" s="6" t="n">
        <v>92094</v>
      </c>
      <c r="J57" s="7" t="inlineStr">
        <is>
          <t>3 RL automáticos 34,5 kV</t>
        </is>
      </c>
    </row>
    <row r="58" outlineLevel="1">
      <c r="A58" s="19" t="inlineStr">
        <is>
          <t>Executar Obras</t>
        </is>
      </c>
      <c r="B58" s="14">
        <f>Parâmetros!$B$5</f>
        <v/>
      </c>
      <c r="C58" s="20" t="n">
        <v>46497</v>
      </c>
      <c r="D58" s="15">
        <f>C58+B58</f>
        <v/>
      </c>
      <c r="E58" s="16" t="inlineStr">
        <is>
          <t>1.3.5.1</t>
        </is>
      </c>
      <c r="F58" s="16" t="inlineStr">
        <is>
          <t>Atividade</t>
        </is>
      </c>
      <c r="G58" s="17" t="inlineStr">
        <is>
          <t>Início por meta de energização</t>
        </is>
      </c>
      <c r="H58" s="17" t="inlineStr">
        <is>
          <t>EPS (executora) / Supervisor de Obras DCMD</t>
        </is>
      </c>
      <c r="I58" s="16" t="n">
        <v>92094</v>
      </c>
      <c r="J58" s="17" t="inlineStr">
        <is>
          <t>PN 2026 – blocos RL/RT</t>
        </is>
      </c>
    </row>
    <row r="59" outlineLevel="1">
      <c r="A59" s="19" t="inlineStr">
        <is>
          <t>Obras Concluídas</t>
        </is>
      </c>
      <c r="B59" s="14" t="n">
        <v>0</v>
      </c>
      <c r="C59" s="15">
        <f>D58</f>
        <v/>
      </c>
      <c r="D59" s="15">
        <f>C59+B59</f>
        <v/>
      </c>
      <c r="E59" s="16" t="inlineStr">
        <is>
          <t>1.3.5.2</t>
        </is>
      </c>
      <c r="F59" s="16" t="inlineStr">
        <is>
          <t>Marco</t>
        </is>
      </c>
      <c r="G59" s="17" t="inlineStr">
        <is>
          <t>Executar Obras</t>
        </is>
      </c>
      <c r="H59" s="17" t="inlineStr">
        <is>
          <t>EPS</t>
        </is>
      </c>
      <c r="I59" s="16" t="n">
        <v>92094</v>
      </c>
      <c r="J59" s="17" t="inlineStr">
        <is>
          <t>Marco</t>
        </is>
      </c>
    </row>
    <row r="60" outlineLevel="1">
      <c r="A60" s="19" t="inlineStr">
        <is>
          <t>Fiscalização</t>
        </is>
      </c>
      <c r="B60" s="14">
        <f>Parâmetros!$B$7</f>
        <v/>
      </c>
      <c r="C60" s="15">
        <f>WORKDAY(D59,1,Feriados)</f>
        <v/>
      </c>
      <c r="D60" s="15">
        <f>C60+B60</f>
        <v/>
      </c>
      <c r="E60" s="16" t="inlineStr">
        <is>
          <t>1.3.5.3</t>
        </is>
      </c>
      <c r="F60" s="16" t="inlineStr">
        <is>
          <t>Atividade</t>
        </is>
      </c>
      <c r="G60" s="17" t="inlineStr">
        <is>
          <t>Obras Concluídas</t>
        </is>
      </c>
      <c r="H60" s="17" t="inlineStr">
        <is>
          <t>Fiscalização de obras (Resulta)</t>
        </is>
      </c>
      <c r="I60" s="16" t="n">
        <v>92094</v>
      </c>
      <c r="J60" s="17" t="inlineStr">
        <is>
          <t>PN 2026 – blocos RL/RT</t>
        </is>
      </c>
    </row>
    <row r="61" outlineLevel="1">
      <c r="A61" s="19" t="inlineStr">
        <is>
          <t>Cadastro EO/ Integração parcial</t>
        </is>
      </c>
      <c r="B61" s="14">
        <f>Parâmetros!$B$8</f>
        <v/>
      </c>
      <c r="C61" s="15">
        <f>WORKDAY(D60,1,Feriados)</f>
        <v/>
      </c>
      <c r="D61" s="15">
        <f>C61+B61</f>
        <v/>
      </c>
      <c r="E61" s="16" t="inlineStr">
        <is>
          <t>1.3.5.4</t>
        </is>
      </c>
      <c r="F61" s="16" t="inlineStr">
        <is>
          <t>Atividade</t>
        </is>
      </c>
      <c r="G61" s="17" t="inlineStr">
        <is>
          <t>Fiscalização</t>
        </is>
      </c>
      <c r="H61" s="17" t="inlineStr">
        <is>
          <t>DCMD (Cadastro EO/TS)</t>
        </is>
      </c>
      <c r="I61" s="16" t="n">
        <v>92094</v>
      </c>
      <c r="J61" s="17" t="inlineStr">
        <is>
          <t>PN 2026 – blocos RL/RT</t>
        </is>
      </c>
    </row>
    <row r="62" outlineLevel="1">
      <c r="A62" s="19" t="inlineStr">
        <is>
          <t>Entrega do TCI pela empreiteira / Integração final</t>
        </is>
      </c>
      <c r="B62" s="14">
        <f>Parâmetros!$B$9</f>
        <v/>
      </c>
      <c r="C62" s="15">
        <f>WORKDAY(D61,1,Feriados)</f>
        <v/>
      </c>
      <c r="D62" s="15">
        <f>C62+B62</f>
        <v/>
      </c>
      <c r="E62" s="16" t="inlineStr">
        <is>
          <t>1.3.5.5</t>
        </is>
      </c>
      <c r="F62" s="16" t="inlineStr">
        <is>
          <t>Atividade</t>
        </is>
      </c>
      <c r="G62" s="17" t="inlineStr">
        <is>
          <t>Cadastro EO</t>
        </is>
      </c>
      <c r="H62" s="17" t="inlineStr">
        <is>
          <t>EPS / DCMD</t>
        </is>
      </c>
      <c r="I62" s="16" t="n">
        <v>92094</v>
      </c>
      <c r="J62" s="17" t="inlineStr">
        <is>
          <t>PN 2026 – blocos RL/RT</t>
        </is>
      </c>
    </row>
    <row r="63" outlineLevel="1">
      <c r="A63" s="19" t="inlineStr">
        <is>
          <t>Abertura de chamado/ Atendimento GAT</t>
        </is>
      </c>
      <c r="B63" s="14">
        <f>Parâmetros!$B$10</f>
        <v/>
      </c>
      <c r="C63" s="15">
        <f>C62</f>
        <v/>
      </c>
      <c r="D63" s="15">
        <f>C63+B63</f>
        <v/>
      </c>
      <c r="E63" s="16" t="inlineStr">
        <is>
          <t>1.3.5.6</t>
        </is>
      </c>
      <c r="F63" s="16" t="inlineStr">
        <is>
          <t>Atividade</t>
        </is>
      </c>
      <c r="G63" s="17" t="inlineStr">
        <is>
          <t>TCI (início)</t>
        </is>
      </c>
      <c r="H63" s="17" t="inlineStr">
        <is>
          <t>DCMD / GAT</t>
        </is>
      </c>
      <c r="I63" s="16" t="n">
        <v>92094</v>
      </c>
      <c r="J63" s="17" t="inlineStr">
        <is>
          <t>PN 2026 – blocos RL/RT</t>
        </is>
      </c>
    </row>
    <row r="64" outlineLevel="1">
      <c r="A64" s="19" t="inlineStr">
        <is>
          <t>Comissionar Equipamentos</t>
        </is>
      </c>
      <c r="B64" s="14">
        <f>Parâmetros!$B$11</f>
        <v/>
      </c>
      <c r="C64" s="15">
        <f>C62</f>
        <v/>
      </c>
      <c r="D64" s="15">
        <f>C64+B64</f>
        <v/>
      </c>
      <c r="E64" s="16" t="inlineStr">
        <is>
          <t>1.3.5.7</t>
        </is>
      </c>
      <c r="F64" s="16" t="inlineStr">
        <is>
          <t>Atividade</t>
        </is>
      </c>
      <c r="G64" s="17" t="inlineStr">
        <is>
          <t>TCI (início)</t>
        </is>
      </c>
      <c r="H64" s="17" t="inlineStr">
        <is>
          <t>DMSL / DEOP (ajuste de proteção)</t>
        </is>
      </c>
      <c r="I64" s="16" t="n">
        <v>92094</v>
      </c>
      <c r="J64" s="17" t="inlineStr">
        <is>
          <t>PN 2026 – blocos RL/RT</t>
        </is>
      </c>
    </row>
    <row r="65" outlineLevel="1">
      <c r="A65" s="19" t="inlineStr">
        <is>
          <t>Equipamentos em Operação</t>
        </is>
      </c>
      <c r="B65" s="14" t="n">
        <v>0</v>
      </c>
      <c r="C65" s="15">
        <f>D64</f>
        <v/>
      </c>
      <c r="D65" s="15">
        <f>C65+B65</f>
        <v/>
      </c>
      <c r="E65" s="16" t="inlineStr">
        <is>
          <t>1.3.5.8</t>
        </is>
      </c>
      <c r="F65" s="16" t="inlineStr">
        <is>
          <t>Marco</t>
        </is>
      </c>
      <c r="G65" s="17" t="inlineStr">
        <is>
          <t>Comissionar Equip.</t>
        </is>
      </c>
      <c r="H65" s="17" t="inlineStr">
        <is>
          <t>DMSL / DEOP</t>
        </is>
      </c>
      <c r="I65" s="16" t="n">
        <v>92094</v>
      </c>
      <c r="J65" s="17" t="inlineStr">
        <is>
          <t>Marco = término do comissionamento</t>
        </is>
      </c>
    </row>
    <row r="66" outlineLevel="1">
      <c r="A66" s="19" t="inlineStr">
        <is>
          <t>Encerramento Técnico</t>
        </is>
      </c>
      <c r="B66" s="14">
        <f>Parâmetros!$B$12</f>
        <v/>
      </c>
      <c r="C66" s="15">
        <f>WORKDAY(D65,1,Feriados)</f>
        <v/>
      </c>
      <c r="D66" s="15">
        <f>WORKDAY(C66,B66,Feriados)</f>
        <v/>
      </c>
      <c r="E66" s="16" t="inlineStr">
        <is>
          <t>1.3.5.9</t>
        </is>
      </c>
      <c r="F66" s="16" t="inlineStr">
        <is>
          <t>Atividade</t>
        </is>
      </c>
      <c r="G66" s="17" t="inlineStr">
        <is>
          <t>Equip. em Operação</t>
        </is>
      </c>
      <c r="H66" s="17" t="inlineStr">
        <is>
          <t>DCMD (Encerramento Técnico)</t>
        </is>
      </c>
      <c r="I66" s="16" t="n">
        <v>92094</v>
      </c>
      <c r="J66" s="17" t="inlineStr">
        <is>
          <t>PN 2026 – blocos RL/RT (dias úteis)</t>
        </is>
      </c>
    </row>
    <row r="67" outlineLevel="1">
      <c r="A67" s="19" t="inlineStr">
        <is>
          <t>Encerramento Contábil</t>
        </is>
      </c>
      <c r="B67" s="14">
        <f>Parâmetros!$B$13</f>
        <v/>
      </c>
      <c r="C67" s="15">
        <f>WORKDAY(D66,1,Feriados)</f>
        <v/>
      </c>
      <c r="D67" s="15">
        <f>WORKDAY(C67,B67,Feriados)</f>
        <v/>
      </c>
      <c r="E67" s="16" t="inlineStr">
        <is>
          <t>1.3.5.10</t>
        </is>
      </c>
      <c r="F67" s="16" t="inlineStr">
        <is>
          <t>Atividade</t>
        </is>
      </c>
      <c r="G67" s="17" t="inlineStr">
        <is>
          <t>Encerramento Técnico</t>
        </is>
      </c>
      <c r="H67" s="17" t="inlineStr">
        <is>
          <t>DCMD / Contabilidade</t>
        </is>
      </c>
      <c r="I67" s="16" t="n">
        <v>92094</v>
      </c>
      <c r="J67" s="17" t="inlineStr">
        <is>
          <t>PN 2026 – blocos RL/RT (dias úteis)</t>
        </is>
      </c>
    </row>
    <row r="68">
      <c r="A68" s="18" t="inlineStr">
        <is>
          <t>Estudo de QS - LD Palmas - Lajeado (92095)</t>
        </is>
      </c>
      <c r="B68" s="4">
        <f>D68-C68</f>
        <v/>
      </c>
      <c r="C68" s="5">
        <f>MIN(C69:C78)</f>
        <v/>
      </c>
      <c r="D68" s="5">
        <f>MAX(D69:D78)</f>
        <v/>
      </c>
      <c r="E68" s="6" t="inlineStr">
        <is>
          <t>1.3.6</t>
        </is>
      </c>
      <c r="F68" s="6" t="inlineStr">
        <is>
          <t>Pacote</t>
        </is>
      </c>
      <c r="G68" s="7" t="inlineStr"/>
      <c r="H68" s="7" t="inlineStr">
        <is>
          <t>GP Sandro Padilha</t>
        </is>
      </c>
      <c r="I68" s="6" t="n">
        <v>92095</v>
      </c>
      <c r="J68" s="7" t="inlineStr">
        <is>
          <t>1 RL automático 34,5 kV</t>
        </is>
      </c>
    </row>
    <row r="69" outlineLevel="1">
      <c r="A69" s="19" t="inlineStr">
        <is>
          <t>Executar Obras</t>
        </is>
      </c>
      <c r="B69" s="14">
        <f>Parâmetros!$B$5</f>
        <v/>
      </c>
      <c r="C69" s="20" t="n">
        <v>46497</v>
      </c>
      <c r="D69" s="15">
        <f>C69+B69</f>
        <v/>
      </c>
      <c r="E69" s="16" t="inlineStr">
        <is>
          <t>1.3.6.1</t>
        </is>
      </c>
      <c r="F69" s="16" t="inlineStr">
        <is>
          <t>Atividade</t>
        </is>
      </c>
      <c r="G69" s="17" t="inlineStr">
        <is>
          <t>Início por meta de energização</t>
        </is>
      </c>
      <c r="H69" s="17" t="inlineStr">
        <is>
          <t>EPS (executora) / Supervisor de Obras DCMD</t>
        </is>
      </c>
      <c r="I69" s="16" t="n">
        <v>92095</v>
      </c>
      <c r="J69" s="17" t="inlineStr">
        <is>
          <t>PN 2026 – blocos RL/RT</t>
        </is>
      </c>
    </row>
    <row r="70" outlineLevel="1">
      <c r="A70" s="19" t="inlineStr">
        <is>
          <t>Obras Concluídas</t>
        </is>
      </c>
      <c r="B70" s="14" t="n">
        <v>0</v>
      </c>
      <c r="C70" s="15">
        <f>D69</f>
        <v/>
      </c>
      <c r="D70" s="15">
        <f>C70+B70</f>
        <v/>
      </c>
      <c r="E70" s="16" t="inlineStr">
        <is>
          <t>1.3.6.2</t>
        </is>
      </c>
      <c r="F70" s="16" t="inlineStr">
        <is>
          <t>Marco</t>
        </is>
      </c>
      <c r="G70" s="17" t="inlineStr">
        <is>
          <t>Executar Obras</t>
        </is>
      </c>
      <c r="H70" s="17" t="inlineStr">
        <is>
          <t>EPS</t>
        </is>
      </c>
      <c r="I70" s="16" t="n">
        <v>92095</v>
      </c>
      <c r="J70" s="17" t="inlineStr">
        <is>
          <t>Marco</t>
        </is>
      </c>
    </row>
    <row r="71" outlineLevel="1">
      <c r="A71" s="19" t="inlineStr">
        <is>
          <t>Fiscalização</t>
        </is>
      </c>
      <c r="B71" s="14">
        <f>Parâmetros!$B$7</f>
        <v/>
      </c>
      <c r="C71" s="15">
        <f>WORKDAY(D70,1,Feriados)</f>
        <v/>
      </c>
      <c r="D71" s="15">
        <f>C71+B71</f>
        <v/>
      </c>
      <c r="E71" s="16" t="inlineStr">
        <is>
          <t>1.3.6.3</t>
        </is>
      </c>
      <c r="F71" s="16" t="inlineStr">
        <is>
          <t>Atividade</t>
        </is>
      </c>
      <c r="G71" s="17" t="inlineStr">
        <is>
          <t>Obras Concluídas</t>
        </is>
      </c>
      <c r="H71" s="17" t="inlineStr">
        <is>
          <t>Fiscalização de obras (Resulta)</t>
        </is>
      </c>
      <c r="I71" s="16" t="n">
        <v>92095</v>
      </c>
      <c r="J71" s="17" t="inlineStr">
        <is>
          <t>PN 2026 – blocos RL/RT</t>
        </is>
      </c>
    </row>
    <row r="72" outlineLevel="1">
      <c r="A72" s="19" t="inlineStr">
        <is>
          <t>Cadastro EO/ Integração parcial</t>
        </is>
      </c>
      <c r="B72" s="14">
        <f>Parâmetros!$B$8</f>
        <v/>
      </c>
      <c r="C72" s="15">
        <f>WORKDAY(D71,1,Feriados)</f>
        <v/>
      </c>
      <c r="D72" s="15">
        <f>C72+B72</f>
        <v/>
      </c>
      <c r="E72" s="16" t="inlineStr">
        <is>
          <t>1.3.6.4</t>
        </is>
      </c>
      <c r="F72" s="16" t="inlineStr">
        <is>
          <t>Atividade</t>
        </is>
      </c>
      <c r="G72" s="17" t="inlineStr">
        <is>
          <t>Fiscalização</t>
        </is>
      </c>
      <c r="H72" s="17" t="inlineStr">
        <is>
          <t>DCMD (Cadastro EO/TS)</t>
        </is>
      </c>
      <c r="I72" s="16" t="n">
        <v>92095</v>
      </c>
      <c r="J72" s="17" t="inlineStr">
        <is>
          <t>PN 2026 – blocos RL/RT</t>
        </is>
      </c>
    </row>
    <row r="73" outlineLevel="1">
      <c r="A73" s="19" t="inlineStr">
        <is>
          <t>Entrega do TCI pela empreiteira / Integração final</t>
        </is>
      </c>
      <c r="B73" s="14">
        <f>Parâmetros!$B$9</f>
        <v/>
      </c>
      <c r="C73" s="15">
        <f>WORKDAY(D72,1,Feriados)</f>
        <v/>
      </c>
      <c r="D73" s="15">
        <f>C73+B73</f>
        <v/>
      </c>
      <c r="E73" s="16" t="inlineStr">
        <is>
          <t>1.3.6.5</t>
        </is>
      </c>
      <c r="F73" s="16" t="inlineStr">
        <is>
          <t>Atividade</t>
        </is>
      </c>
      <c r="G73" s="17" t="inlineStr">
        <is>
          <t>Cadastro EO</t>
        </is>
      </c>
      <c r="H73" s="17" t="inlineStr">
        <is>
          <t>EPS / DCMD</t>
        </is>
      </c>
      <c r="I73" s="16" t="n">
        <v>92095</v>
      </c>
      <c r="J73" s="17" t="inlineStr">
        <is>
          <t>PN 2026 – blocos RL/RT</t>
        </is>
      </c>
    </row>
    <row r="74" outlineLevel="1">
      <c r="A74" s="19" t="inlineStr">
        <is>
          <t>Abertura de chamado/ Atendimento GAT</t>
        </is>
      </c>
      <c r="B74" s="14">
        <f>Parâmetros!$B$10</f>
        <v/>
      </c>
      <c r="C74" s="15">
        <f>C73</f>
        <v/>
      </c>
      <c r="D74" s="15">
        <f>C74+B74</f>
        <v/>
      </c>
      <c r="E74" s="16" t="inlineStr">
        <is>
          <t>1.3.6.6</t>
        </is>
      </c>
      <c r="F74" s="16" t="inlineStr">
        <is>
          <t>Atividade</t>
        </is>
      </c>
      <c r="G74" s="17" t="inlineStr">
        <is>
          <t>TCI (início)</t>
        </is>
      </c>
      <c r="H74" s="17" t="inlineStr">
        <is>
          <t>DCMD / GAT</t>
        </is>
      </c>
      <c r="I74" s="16" t="n">
        <v>92095</v>
      </c>
      <c r="J74" s="17" t="inlineStr">
        <is>
          <t>PN 2026 – blocos RL/RT</t>
        </is>
      </c>
    </row>
    <row r="75" outlineLevel="1">
      <c r="A75" s="19" t="inlineStr">
        <is>
          <t>Comissionar Equipamentos</t>
        </is>
      </c>
      <c r="B75" s="14">
        <f>Parâmetros!$B$11</f>
        <v/>
      </c>
      <c r="C75" s="15">
        <f>C73</f>
        <v/>
      </c>
      <c r="D75" s="15">
        <f>C75+B75</f>
        <v/>
      </c>
      <c r="E75" s="16" t="inlineStr">
        <is>
          <t>1.3.6.7</t>
        </is>
      </c>
      <c r="F75" s="16" t="inlineStr">
        <is>
          <t>Atividade</t>
        </is>
      </c>
      <c r="G75" s="17" t="inlineStr">
        <is>
          <t>TCI (início)</t>
        </is>
      </c>
      <c r="H75" s="17" t="inlineStr">
        <is>
          <t>DMSL / DEOP (ajuste de proteção)</t>
        </is>
      </c>
      <c r="I75" s="16" t="n">
        <v>92095</v>
      </c>
      <c r="J75" s="17" t="inlineStr">
        <is>
          <t>PN 2026 – blocos RL/RT</t>
        </is>
      </c>
    </row>
    <row r="76" outlineLevel="1">
      <c r="A76" s="19" t="inlineStr">
        <is>
          <t>Equipamentos em Operação</t>
        </is>
      </c>
      <c r="B76" s="14" t="n">
        <v>0</v>
      </c>
      <c r="C76" s="15">
        <f>D75</f>
        <v/>
      </c>
      <c r="D76" s="15">
        <f>C76+B76</f>
        <v/>
      </c>
      <c r="E76" s="16" t="inlineStr">
        <is>
          <t>1.3.6.8</t>
        </is>
      </c>
      <c r="F76" s="16" t="inlineStr">
        <is>
          <t>Marco</t>
        </is>
      </c>
      <c r="G76" s="17" t="inlineStr">
        <is>
          <t>Comissionar Equip.</t>
        </is>
      </c>
      <c r="H76" s="17" t="inlineStr">
        <is>
          <t>DMSL / DEOP</t>
        </is>
      </c>
      <c r="I76" s="16" t="n">
        <v>92095</v>
      </c>
      <c r="J76" s="17" t="inlineStr">
        <is>
          <t>Marco = término do comissionamento</t>
        </is>
      </c>
    </row>
    <row r="77" outlineLevel="1">
      <c r="A77" s="19" t="inlineStr">
        <is>
          <t>Encerramento Técnico</t>
        </is>
      </c>
      <c r="B77" s="14">
        <f>Parâmetros!$B$12</f>
        <v/>
      </c>
      <c r="C77" s="15">
        <f>WORKDAY(D76,1,Feriados)</f>
        <v/>
      </c>
      <c r="D77" s="15">
        <f>WORKDAY(C77,B77,Feriados)</f>
        <v/>
      </c>
      <c r="E77" s="16" t="inlineStr">
        <is>
          <t>1.3.6.9</t>
        </is>
      </c>
      <c r="F77" s="16" t="inlineStr">
        <is>
          <t>Atividade</t>
        </is>
      </c>
      <c r="G77" s="17" t="inlineStr">
        <is>
          <t>Equip. em Operação</t>
        </is>
      </c>
      <c r="H77" s="17" t="inlineStr">
        <is>
          <t>DCMD (Encerramento Técnico)</t>
        </is>
      </c>
      <c r="I77" s="16" t="n">
        <v>92095</v>
      </c>
      <c r="J77" s="17" t="inlineStr">
        <is>
          <t>PN 2026 – blocos RL/RT (dias úteis)</t>
        </is>
      </c>
    </row>
    <row r="78" outlineLevel="1">
      <c r="A78" s="19" t="inlineStr">
        <is>
          <t>Encerramento Contábil</t>
        </is>
      </c>
      <c r="B78" s="14">
        <f>Parâmetros!$B$13</f>
        <v/>
      </c>
      <c r="C78" s="15">
        <f>WORKDAY(D77,1,Feriados)</f>
        <v/>
      </c>
      <c r="D78" s="15">
        <f>WORKDAY(C78,B78,Feriados)</f>
        <v/>
      </c>
      <c r="E78" s="16" t="inlineStr">
        <is>
          <t>1.3.6.10</t>
        </is>
      </c>
      <c r="F78" s="16" t="inlineStr">
        <is>
          <t>Atividade</t>
        </is>
      </c>
      <c r="G78" s="17" t="inlineStr">
        <is>
          <t>Encerramento Técnico</t>
        </is>
      </c>
      <c r="H78" s="17" t="inlineStr">
        <is>
          <t>DCMD / Contabilidade</t>
        </is>
      </c>
      <c r="I78" s="16" t="n">
        <v>92095</v>
      </c>
      <c r="J78" s="17" t="inlineStr">
        <is>
          <t>PN 2026 – blocos RL/RT (dias úteis)</t>
        </is>
      </c>
    </row>
    <row r="79">
      <c r="A79" s="18" t="inlineStr">
        <is>
          <t>Estudo de QS - 8 de Palmas IV (92101)</t>
        </is>
      </c>
      <c r="B79" s="4">
        <f>D79-C79</f>
        <v/>
      </c>
      <c r="C79" s="5">
        <f>MIN(C80:C89)</f>
        <v/>
      </c>
      <c r="D79" s="5">
        <f>MAX(D80:D89)</f>
        <v/>
      </c>
      <c r="E79" s="6" t="inlineStr">
        <is>
          <t>1.3.7</t>
        </is>
      </c>
      <c r="F79" s="6" t="inlineStr">
        <is>
          <t>Pacote</t>
        </is>
      </c>
      <c r="G79" s="7" t="inlineStr"/>
      <c r="H79" s="7" t="inlineStr">
        <is>
          <t>GP Sandro Padilha</t>
        </is>
      </c>
      <c r="I79" s="6" t="n">
        <v>92101</v>
      </c>
      <c r="J79" s="7" t="inlineStr">
        <is>
          <t>1 RL automático 13,8 kV (N.A)</t>
        </is>
      </c>
    </row>
    <row r="80" outlineLevel="1">
      <c r="A80" s="19" t="inlineStr">
        <is>
          <t>Executar Obras</t>
        </is>
      </c>
      <c r="B80" s="14">
        <f>Parâmetros!$B$5</f>
        <v/>
      </c>
      <c r="C80" s="20" t="n">
        <v>46497</v>
      </c>
      <c r="D80" s="15">
        <f>C80+B80</f>
        <v/>
      </c>
      <c r="E80" s="16" t="inlineStr">
        <is>
          <t>1.3.7.1</t>
        </is>
      </c>
      <c r="F80" s="16" t="inlineStr">
        <is>
          <t>Atividade</t>
        </is>
      </c>
      <c r="G80" s="17" t="inlineStr">
        <is>
          <t>Início por meta de energização</t>
        </is>
      </c>
      <c r="H80" s="17" t="inlineStr">
        <is>
          <t>EPS (executora) / Supervisor de Obras DCMD</t>
        </is>
      </c>
      <c r="I80" s="16" t="n">
        <v>92101</v>
      </c>
      <c r="J80" s="17" t="inlineStr">
        <is>
          <t>PN 2026 – blocos RL/RT</t>
        </is>
      </c>
    </row>
    <row r="81" outlineLevel="1">
      <c r="A81" s="19" t="inlineStr">
        <is>
          <t>Obras Concluídas</t>
        </is>
      </c>
      <c r="B81" s="14" t="n">
        <v>0</v>
      </c>
      <c r="C81" s="15">
        <f>D80</f>
        <v/>
      </c>
      <c r="D81" s="15">
        <f>C81+B81</f>
        <v/>
      </c>
      <c r="E81" s="16" t="inlineStr">
        <is>
          <t>1.3.7.2</t>
        </is>
      </c>
      <c r="F81" s="16" t="inlineStr">
        <is>
          <t>Marco</t>
        </is>
      </c>
      <c r="G81" s="17" t="inlineStr">
        <is>
          <t>Executar Obras</t>
        </is>
      </c>
      <c r="H81" s="17" t="inlineStr">
        <is>
          <t>EPS</t>
        </is>
      </c>
      <c r="I81" s="16" t="n">
        <v>92101</v>
      </c>
      <c r="J81" s="17" t="inlineStr">
        <is>
          <t>Marco</t>
        </is>
      </c>
    </row>
    <row r="82" outlineLevel="1">
      <c r="A82" s="19" t="inlineStr">
        <is>
          <t>Fiscalização</t>
        </is>
      </c>
      <c r="B82" s="14">
        <f>Parâmetros!$B$7</f>
        <v/>
      </c>
      <c r="C82" s="15">
        <f>WORKDAY(D81,1,Feriados)</f>
        <v/>
      </c>
      <c r="D82" s="15">
        <f>C82+B82</f>
        <v/>
      </c>
      <c r="E82" s="16" t="inlineStr">
        <is>
          <t>1.3.7.3</t>
        </is>
      </c>
      <c r="F82" s="16" t="inlineStr">
        <is>
          <t>Atividade</t>
        </is>
      </c>
      <c r="G82" s="17" t="inlineStr">
        <is>
          <t>Obras Concluídas</t>
        </is>
      </c>
      <c r="H82" s="17" t="inlineStr">
        <is>
          <t>Fiscalização de obras (Resulta)</t>
        </is>
      </c>
      <c r="I82" s="16" t="n">
        <v>92101</v>
      </c>
      <c r="J82" s="17" t="inlineStr">
        <is>
          <t>PN 2026 – blocos RL/RT</t>
        </is>
      </c>
    </row>
    <row r="83" outlineLevel="1">
      <c r="A83" s="19" t="inlineStr">
        <is>
          <t>Cadastro EO/ Integração parcial</t>
        </is>
      </c>
      <c r="B83" s="14">
        <f>Parâmetros!$B$8</f>
        <v/>
      </c>
      <c r="C83" s="15">
        <f>WORKDAY(D82,1,Feriados)</f>
        <v/>
      </c>
      <c r="D83" s="15">
        <f>C83+B83</f>
        <v/>
      </c>
      <c r="E83" s="16" t="inlineStr">
        <is>
          <t>1.3.7.4</t>
        </is>
      </c>
      <c r="F83" s="16" t="inlineStr">
        <is>
          <t>Atividade</t>
        </is>
      </c>
      <c r="G83" s="17" t="inlineStr">
        <is>
          <t>Fiscalização</t>
        </is>
      </c>
      <c r="H83" s="17" t="inlineStr">
        <is>
          <t>DCMD (Cadastro EO/TS)</t>
        </is>
      </c>
      <c r="I83" s="16" t="n">
        <v>92101</v>
      </c>
      <c r="J83" s="17" t="inlineStr">
        <is>
          <t>PN 2026 – blocos RL/RT</t>
        </is>
      </c>
    </row>
    <row r="84" outlineLevel="1">
      <c r="A84" s="19" t="inlineStr">
        <is>
          <t>Entrega do TCI pela empreiteira / Integração final</t>
        </is>
      </c>
      <c r="B84" s="14">
        <f>Parâmetros!$B$9</f>
        <v/>
      </c>
      <c r="C84" s="15">
        <f>WORKDAY(D83,1,Feriados)</f>
        <v/>
      </c>
      <c r="D84" s="15">
        <f>C84+B84</f>
        <v/>
      </c>
      <c r="E84" s="16" t="inlineStr">
        <is>
          <t>1.3.7.5</t>
        </is>
      </c>
      <c r="F84" s="16" t="inlineStr">
        <is>
          <t>Atividade</t>
        </is>
      </c>
      <c r="G84" s="17" t="inlineStr">
        <is>
          <t>Cadastro EO</t>
        </is>
      </c>
      <c r="H84" s="17" t="inlineStr">
        <is>
          <t>EPS / DCMD</t>
        </is>
      </c>
      <c r="I84" s="16" t="n">
        <v>92101</v>
      </c>
      <c r="J84" s="17" t="inlineStr">
        <is>
          <t>PN 2026 – blocos RL/RT</t>
        </is>
      </c>
    </row>
    <row r="85" outlineLevel="1">
      <c r="A85" s="19" t="inlineStr">
        <is>
          <t>Abertura de chamado/ Atendimento GAT</t>
        </is>
      </c>
      <c r="B85" s="14">
        <f>Parâmetros!$B$10</f>
        <v/>
      </c>
      <c r="C85" s="15">
        <f>C84</f>
        <v/>
      </c>
      <c r="D85" s="15">
        <f>C85+B85</f>
        <v/>
      </c>
      <c r="E85" s="16" t="inlineStr">
        <is>
          <t>1.3.7.6</t>
        </is>
      </c>
      <c r="F85" s="16" t="inlineStr">
        <is>
          <t>Atividade</t>
        </is>
      </c>
      <c r="G85" s="17" t="inlineStr">
        <is>
          <t>TCI (início)</t>
        </is>
      </c>
      <c r="H85" s="17" t="inlineStr">
        <is>
          <t>DCMD / GAT</t>
        </is>
      </c>
      <c r="I85" s="16" t="n">
        <v>92101</v>
      </c>
      <c r="J85" s="17" t="inlineStr">
        <is>
          <t>PN 2026 – blocos RL/RT</t>
        </is>
      </c>
    </row>
    <row r="86" outlineLevel="1">
      <c r="A86" s="19" t="inlineStr">
        <is>
          <t>Comissionar Equipamentos</t>
        </is>
      </c>
      <c r="B86" s="14">
        <f>Parâmetros!$B$11</f>
        <v/>
      </c>
      <c r="C86" s="15">
        <f>C84</f>
        <v/>
      </c>
      <c r="D86" s="15">
        <f>C86+B86</f>
        <v/>
      </c>
      <c r="E86" s="16" t="inlineStr">
        <is>
          <t>1.3.7.7</t>
        </is>
      </c>
      <c r="F86" s="16" t="inlineStr">
        <is>
          <t>Atividade</t>
        </is>
      </c>
      <c r="G86" s="17" t="inlineStr">
        <is>
          <t>TCI (início)</t>
        </is>
      </c>
      <c r="H86" s="17" t="inlineStr">
        <is>
          <t>DMSL / DEOP (ajuste de proteção)</t>
        </is>
      </c>
      <c r="I86" s="16" t="n">
        <v>92101</v>
      </c>
      <c r="J86" s="17" t="inlineStr">
        <is>
          <t>PN 2026 – blocos RL/RT</t>
        </is>
      </c>
    </row>
    <row r="87" outlineLevel="1">
      <c r="A87" s="19" t="inlineStr">
        <is>
          <t>Equipamentos em Operação</t>
        </is>
      </c>
      <c r="B87" s="14" t="n">
        <v>0</v>
      </c>
      <c r="C87" s="15">
        <f>D86</f>
        <v/>
      </c>
      <c r="D87" s="15">
        <f>C87+B87</f>
        <v/>
      </c>
      <c r="E87" s="16" t="inlineStr">
        <is>
          <t>1.3.7.8</t>
        </is>
      </c>
      <c r="F87" s="16" t="inlineStr">
        <is>
          <t>Marco</t>
        </is>
      </c>
      <c r="G87" s="17" t="inlineStr">
        <is>
          <t>Comissionar Equip.</t>
        </is>
      </c>
      <c r="H87" s="17" t="inlineStr">
        <is>
          <t>DMSL / DEOP</t>
        </is>
      </c>
      <c r="I87" s="16" t="n">
        <v>92101</v>
      </c>
      <c r="J87" s="17" t="inlineStr">
        <is>
          <t>Marco = término do comissionamento</t>
        </is>
      </c>
    </row>
    <row r="88" outlineLevel="1">
      <c r="A88" s="19" t="inlineStr">
        <is>
          <t>Encerramento Técnico</t>
        </is>
      </c>
      <c r="B88" s="14">
        <f>Parâmetros!$B$12</f>
        <v/>
      </c>
      <c r="C88" s="15">
        <f>WORKDAY(D87,1,Feriados)</f>
        <v/>
      </c>
      <c r="D88" s="15">
        <f>WORKDAY(C88,B88,Feriados)</f>
        <v/>
      </c>
      <c r="E88" s="16" t="inlineStr">
        <is>
          <t>1.3.7.9</t>
        </is>
      </c>
      <c r="F88" s="16" t="inlineStr">
        <is>
          <t>Atividade</t>
        </is>
      </c>
      <c r="G88" s="17" t="inlineStr">
        <is>
          <t>Equip. em Operação</t>
        </is>
      </c>
      <c r="H88" s="17" t="inlineStr">
        <is>
          <t>DCMD (Encerramento Técnico)</t>
        </is>
      </c>
      <c r="I88" s="16" t="n">
        <v>92101</v>
      </c>
      <c r="J88" s="17" t="inlineStr">
        <is>
          <t>PN 2026 – blocos RL/RT (dias úteis)</t>
        </is>
      </c>
    </row>
    <row r="89" outlineLevel="1">
      <c r="A89" s="19" t="inlineStr">
        <is>
          <t>Encerramento Contábil</t>
        </is>
      </c>
      <c r="B89" s="14">
        <f>Parâmetros!$B$13</f>
        <v/>
      </c>
      <c r="C89" s="15">
        <f>WORKDAY(D88,1,Feriados)</f>
        <v/>
      </c>
      <c r="D89" s="15">
        <f>WORKDAY(C89,B89,Feriados)</f>
        <v/>
      </c>
      <c r="E89" s="16" t="inlineStr">
        <is>
          <t>1.3.7.10</t>
        </is>
      </c>
      <c r="F89" s="16" t="inlineStr">
        <is>
          <t>Atividade</t>
        </is>
      </c>
      <c r="G89" s="17" t="inlineStr">
        <is>
          <t>Encerramento Técnico</t>
        </is>
      </c>
      <c r="H89" s="17" t="inlineStr">
        <is>
          <t>DCMD / Contabilidade</t>
        </is>
      </c>
      <c r="I89" s="16" t="n">
        <v>92101</v>
      </c>
      <c r="J89" s="17" t="inlineStr">
        <is>
          <t>PN 2026 – blocos RL/RT (dias úteis)</t>
        </is>
      </c>
    </row>
    <row r="90">
      <c r="A90" s="18" t="inlineStr">
        <is>
          <t>Estudo de QS - 6 de Palmas IV (92102)</t>
        </is>
      </c>
      <c r="B90" s="4">
        <f>D90-C90</f>
        <v/>
      </c>
      <c r="C90" s="5">
        <f>MIN(C91:C100)</f>
        <v/>
      </c>
      <c r="D90" s="5">
        <f>MAX(D91:D100)</f>
        <v/>
      </c>
      <c r="E90" s="6" t="inlineStr">
        <is>
          <t>1.3.8</t>
        </is>
      </c>
      <c r="F90" s="6" t="inlineStr">
        <is>
          <t>Pacote</t>
        </is>
      </c>
      <c r="G90" s="7" t="inlineStr"/>
      <c r="H90" s="7" t="inlineStr">
        <is>
          <t>GP Sandro Padilha</t>
        </is>
      </c>
      <c r="I90" s="6" t="n">
        <v>92102</v>
      </c>
      <c r="J90" s="7" t="inlineStr">
        <is>
          <t>1 RL automático 13,8 kV (N.F)</t>
        </is>
      </c>
    </row>
    <row r="91" outlineLevel="1">
      <c r="A91" s="19" t="inlineStr">
        <is>
          <t>Executar Obras</t>
        </is>
      </c>
      <c r="B91" s="14">
        <f>Parâmetros!$B$5</f>
        <v/>
      </c>
      <c r="C91" s="20" t="n">
        <v>46497</v>
      </c>
      <c r="D91" s="15">
        <f>C91+B91</f>
        <v/>
      </c>
      <c r="E91" s="16" t="inlineStr">
        <is>
          <t>1.3.8.1</t>
        </is>
      </c>
      <c r="F91" s="16" t="inlineStr">
        <is>
          <t>Atividade</t>
        </is>
      </c>
      <c r="G91" s="17" t="inlineStr">
        <is>
          <t>Início por meta de energização</t>
        </is>
      </c>
      <c r="H91" s="17" t="inlineStr">
        <is>
          <t>EPS (executora) / Supervisor de Obras DCMD</t>
        </is>
      </c>
      <c r="I91" s="16" t="n">
        <v>92102</v>
      </c>
      <c r="J91" s="17" t="inlineStr">
        <is>
          <t>PN 2026 – blocos RL/RT</t>
        </is>
      </c>
    </row>
    <row r="92" outlineLevel="1">
      <c r="A92" s="19" t="inlineStr">
        <is>
          <t>Obras Concluídas</t>
        </is>
      </c>
      <c r="B92" s="14" t="n">
        <v>0</v>
      </c>
      <c r="C92" s="15">
        <f>D91</f>
        <v/>
      </c>
      <c r="D92" s="15">
        <f>C92+B92</f>
        <v/>
      </c>
      <c r="E92" s="16" t="inlineStr">
        <is>
          <t>1.3.8.2</t>
        </is>
      </c>
      <c r="F92" s="16" t="inlineStr">
        <is>
          <t>Marco</t>
        </is>
      </c>
      <c r="G92" s="17" t="inlineStr">
        <is>
          <t>Executar Obras</t>
        </is>
      </c>
      <c r="H92" s="17" t="inlineStr">
        <is>
          <t>EPS</t>
        </is>
      </c>
      <c r="I92" s="16" t="n">
        <v>92102</v>
      </c>
      <c r="J92" s="17" t="inlineStr">
        <is>
          <t>Marco</t>
        </is>
      </c>
    </row>
    <row r="93" outlineLevel="1">
      <c r="A93" s="19" t="inlineStr">
        <is>
          <t>Fiscalização</t>
        </is>
      </c>
      <c r="B93" s="14">
        <f>Parâmetros!$B$7</f>
        <v/>
      </c>
      <c r="C93" s="15">
        <f>WORKDAY(D92,1,Feriados)</f>
        <v/>
      </c>
      <c r="D93" s="15">
        <f>C93+B93</f>
        <v/>
      </c>
      <c r="E93" s="16" t="inlineStr">
        <is>
          <t>1.3.8.3</t>
        </is>
      </c>
      <c r="F93" s="16" t="inlineStr">
        <is>
          <t>Atividade</t>
        </is>
      </c>
      <c r="G93" s="17" t="inlineStr">
        <is>
          <t>Obras Concluídas</t>
        </is>
      </c>
      <c r="H93" s="17" t="inlineStr">
        <is>
          <t>Fiscalização de obras (Resulta)</t>
        </is>
      </c>
      <c r="I93" s="16" t="n">
        <v>92102</v>
      </c>
      <c r="J93" s="17" t="inlineStr">
        <is>
          <t>PN 2026 – blocos RL/RT</t>
        </is>
      </c>
    </row>
    <row r="94" outlineLevel="1">
      <c r="A94" s="19" t="inlineStr">
        <is>
          <t>Cadastro EO/ Integração parcial</t>
        </is>
      </c>
      <c r="B94" s="14">
        <f>Parâmetros!$B$8</f>
        <v/>
      </c>
      <c r="C94" s="15">
        <f>WORKDAY(D93,1,Feriados)</f>
        <v/>
      </c>
      <c r="D94" s="15">
        <f>C94+B94</f>
        <v/>
      </c>
      <c r="E94" s="16" t="inlineStr">
        <is>
          <t>1.3.8.4</t>
        </is>
      </c>
      <c r="F94" s="16" t="inlineStr">
        <is>
          <t>Atividade</t>
        </is>
      </c>
      <c r="G94" s="17" t="inlineStr">
        <is>
          <t>Fiscalização</t>
        </is>
      </c>
      <c r="H94" s="17" t="inlineStr">
        <is>
          <t>DCMD (Cadastro EO/TS)</t>
        </is>
      </c>
      <c r="I94" s="16" t="n">
        <v>92102</v>
      </c>
      <c r="J94" s="17" t="inlineStr">
        <is>
          <t>PN 2026 – blocos RL/RT</t>
        </is>
      </c>
    </row>
    <row r="95" outlineLevel="1">
      <c r="A95" s="19" t="inlineStr">
        <is>
          <t>Entrega do TCI pela empreiteira / Integração final</t>
        </is>
      </c>
      <c r="B95" s="14">
        <f>Parâmetros!$B$9</f>
        <v/>
      </c>
      <c r="C95" s="15">
        <f>WORKDAY(D94,1,Feriados)</f>
        <v/>
      </c>
      <c r="D95" s="15">
        <f>C95+B95</f>
        <v/>
      </c>
      <c r="E95" s="16" t="inlineStr">
        <is>
          <t>1.3.8.5</t>
        </is>
      </c>
      <c r="F95" s="16" t="inlineStr">
        <is>
          <t>Atividade</t>
        </is>
      </c>
      <c r="G95" s="17" t="inlineStr">
        <is>
          <t>Cadastro EO</t>
        </is>
      </c>
      <c r="H95" s="17" t="inlineStr">
        <is>
          <t>EPS / DCMD</t>
        </is>
      </c>
      <c r="I95" s="16" t="n">
        <v>92102</v>
      </c>
      <c r="J95" s="17" t="inlineStr">
        <is>
          <t>PN 2026 – blocos RL/RT</t>
        </is>
      </c>
    </row>
    <row r="96" outlineLevel="1">
      <c r="A96" s="19" t="inlineStr">
        <is>
          <t>Abertura de chamado/ Atendimento GAT</t>
        </is>
      </c>
      <c r="B96" s="14">
        <f>Parâmetros!$B$10</f>
        <v/>
      </c>
      <c r="C96" s="15">
        <f>C95</f>
        <v/>
      </c>
      <c r="D96" s="15">
        <f>C96+B96</f>
        <v/>
      </c>
      <c r="E96" s="16" t="inlineStr">
        <is>
          <t>1.3.8.6</t>
        </is>
      </c>
      <c r="F96" s="16" t="inlineStr">
        <is>
          <t>Atividade</t>
        </is>
      </c>
      <c r="G96" s="17" t="inlineStr">
        <is>
          <t>TCI (início)</t>
        </is>
      </c>
      <c r="H96" s="17" t="inlineStr">
        <is>
          <t>DCMD / GAT</t>
        </is>
      </c>
      <c r="I96" s="16" t="n">
        <v>92102</v>
      </c>
      <c r="J96" s="17" t="inlineStr">
        <is>
          <t>PN 2026 – blocos RL/RT</t>
        </is>
      </c>
    </row>
    <row r="97" outlineLevel="1">
      <c r="A97" s="19" t="inlineStr">
        <is>
          <t>Comissionar Equipamentos</t>
        </is>
      </c>
      <c r="B97" s="14">
        <f>Parâmetros!$B$11</f>
        <v/>
      </c>
      <c r="C97" s="15">
        <f>C95</f>
        <v/>
      </c>
      <c r="D97" s="15">
        <f>C97+B97</f>
        <v/>
      </c>
      <c r="E97" s="16" t="inlineStr">
        <is>
          <t>1.3.8.7</t>
        </is>
      </c>
      <c r="F97" s="16" t="inlineStr">
        <is>
          <t>Atividade</t>
        </is>
      </c>
      <c r="G97" s="17" t="inlineStr">
        <is>
          <t>TCI (início)</t>
        </is>
      </c>
      <c r="H97" s="17" t="inlineStr">
        <is>
          <t>DMSL / DEOP (ajuste de proteção)</t>
        </is>
      </c>
      <c r="I97" s="16" t="n">
        <v>92102</v>
      </c>
      <c r="J97" s="17" t="inlineStr">
        <is>
          <t>PN 2026 – blocos RL/RT</t>
        </is>
      </c>
    </row>
    <row r="98" outlineLevel="1">
      <c r="A98" s="19" t="inlineStr">
        <is>
          <t>Equipamentos em Operação</t>
        </is>
      </c>
      <c r="B98" s="14" t="n">
        <v>0</v>
      </c>
      <c r="C98" s="15">
        <f>D97</f>
        <v/>
      </c>
      <c r="D98" s="15">
        <f>C98+B98</f>
        <v/>
      </c>
      <c r="E98" s="16" t="inlineStr">
        <is>
          <t>1.3.8.8</t>
        </is>
      </c>
      <c r="F98" s="16" t="inlineStr">
        <is>
          <t>Marco</t>
        </is>
      </c>
      <c r="G98" s="17" t="inlineStr">
        <is>
          <t>Comissionar Equip.</t>
        </is>
      </c>
      <c r="H98" s="17" t="inlineStr">
        <is>
          <t>DMSL / DEOP</t>
        </is>
      </c>
      <c r="I98" s="16" t="n">
        <v>92102</v>
      </c>
      <c r="J98" s="17" t="inlineStr">
        <is>
          <t>Marco = término do comissionamento</t>
        </is>
      </c>
    </row>
    <row r="99" outlineLevel="1">
      <c r="A99" s="19" t="inlineStr">
        <is>
          <t>Encerramento Técnico</t>
        </is>
      </c>
      <c r="B99" s="14">
        <f>Parâmetros!$B$12</f>
        <v/>
      </c>
      <c r="C99" s="15">
        <f>WORKDAY(D98,1,Feriados)</f>
        <v/>
      </c>
      <c r="D99" s="15">
        <f>WORKDAY(C99,B99,Feriados)</f>
        <v/>
      </c>
      <c r="E99" s="16" t="inlineStr">
        <is>
          <t>1.3.8.9</t>
        </is>
      </c>
      <c r="F99" s="16" t="inlineStr">
        <is>
          <t>Atividade</t>
        </is>
      </c>
      <c r="G99" s="17" t="inlineStr">
        <is>
          <t>Equip. em Operação</t>
        </is>
      </c>
      <c r="H99" s="17" t="inlineStr">
        <is>
          <t>DCMD (Encerramento Técnico)</t>
        </is>
      </c>
      <c r="I99" s="16" t="n">
        <v>92102</v>
      </c>
      <c r="J99" s="17" t="inlineStr">
        <is>
          <t>PN 2026 – blocos RL/RT (dias úteis)</t>
        </is>
      </c>
    </row>
    <row r="100" outlineLevel="1">
      <c r="A100" s="19" t="inlineStr">
        <is>
          <t>Encerramento Contábil</t>
        </is>
      </c>
      <c r="B100" s="14">
        <f>Parâmetros!$B$13</f>
        <v/>
      </c>
      <c r="C100" s="15">
        <f>WORKDAY(D99,1,Feriados)</f>
        <v/>
      </c>
      <c r="D100" s="15">
        <f>WORKDAY(C100,B100,Feriados)</f>
        <v/>
      </c>
      <c r="E100" s="16" t="inlineStr">
        <is>
          <t>1.3.8.10</t>
        </is>
      </c>
      <c r="F100" s="16" t="inlineStr">
        <is>
          <t>Atividade</t>
        </is>
      </c>
      <c r="G100" s="17" t="inlineStr">
        <is>
          <t>Encerramento Técnico</t>
        </is>
      </c>
      <c r="H100" s="17" t="inlineStr">
        <is>
          <t>DCMD / Contabilidade</t>
        </is>
      </c>
      <c r="I100" s="16" t="n">
        <v>92102</v>
      </c>
      <c r="J100" s="17" t="inlineStr">
        <is>
          <t>PN 2026 – blocos RL/RT (dias úteis)</t>
        </is>
      </c>
    </row>
    <row r="101">
      <c r="A101" s="18" t="inlineStr">
        <is>
          <t>Instalação de RT - LD Cristalândia - Lagoa da Confusão (70838)</t>
        </is>
      </c>
      <c r="B101" s="4">
        <f>D101-C101</f>
        <v/>
      </c>
      <c r="C101" s="5">
        <f>MIN(C102:C111)</f>
        <v/>
      </c>
      <c r="D101" s="5">
        <f>MAX(D102:D111)</f>
        <v/>
      </c>
      <c r="E101" s="6" t="inlineStr">
        <is>
          <t>1.3.9</t>
        </is>
      </c>
      <c r="F101" s="6" t="inlineStr">
        <is>
          <t>Pacote</t>
        </is>
      </c>
      <c r="G101" s="7" t="inlineStr"/>
      <c r="H101" s="7" t="inlineStr">
        <is>
          <t>GP Sandro Padilha</t>
        </is>
      </c>
      <c r="I101" s="6" t="n">
        <v>70838</v>
      </c>
      <c r="J101" s="7" t="inlineStr">
        <is>
          <t>1 RT 34,5 kV</t>
        </is>
      </c>
    </row>
    <row r="102" outlineLevel="1">
      <c r="A102" s="19" t="inlineStr">
        <is>
          <t>Executar Obras</t>
        </is>
      </c>
      <c r="B102" s="14">
        <f>Parâmetros!$B$5</f>
        <v/>
      </c>
      <c r="C102" s="20" t="n">
        <v>46497</v>
      </c>
      <c r="D102" s="15">
        <f>C102+B102</f>
        <v/>
      </c>
      <c r="E102" s="16" t="inlineStr">
        <is>
          <t>1.3.9.1</t>
        </is>
      </c>
      <c r="F102" s="16" t="inlineStr">
        <is>
          <t>Atividade</t>
        </is>
      </c>
      <c r="G102" s="17" t="inlineStr">
        <is>
          <t>Início por meta de energização</t>
        </is>
      </c>
      <c r="H102" s="17" t="inlineStr">
        <is>
          <t>EPS (executora) / Supervisor de Obras DCMD</t>
        </is>
      </c>
      <c r="I102" s="16" t="n">
        <v>70838</v>
      </c>
      <c r="J102" s="17" t="inlineStr">
        <is>
          <t>PN 2026 – blocos RL/RT</t>
        </is>
      </c>
    </row>
    <row r="103" outlineLevel="1">
      <c r="A103" s="19" t="inlineStr">
        <is>
          <t>Obras Concluídas</t>
        </is>
      </c>
      <c r="B103" s="14" t="n">
        <v>0</v>
      </c>
      <c r="C103" s="15">
        <f>D102</f>
        <v/>
      </c>
      <c r="D103" s="15">
        <f>C103+B103</f>
        <v/>
      </c>
      <c r="E103" s="16" t="inlineStr">
        <is>
          <t>1.3.9.2</t>
        </is>
      </c>
      <c r="F103" s="16" t="inlineStr">
        <is>
          <t>Marco</t>
        </is>
      </c>
      <c r="G103" s="17" t="inlineStr">
        <is>
          <t>Executar Obras</t>
        </is>
      </c>
      <c r="H103" s="17" t="inlineStr">
        <is>
          <t>EPS</t>
        </is>
      </c>
      <c r="I103" s="16" t="n">
        <v>70838</v>
      </c>
      <c r="J103" s="17" t="inlineStr">
        <is>
          <t>Marco</t>
        </is>
      </c>
    </row>
    <row r="104" outlineLevel="1">
      <c r="A104" s="19" t="inlineStr">
        <is>
          <t>Fiscalização</t>
        </is>
      </c>
      <c r="B104" s="14">
        <f>Parâmetros!$B$7</f>
        <v/>
      </c>
      <c r="C104" s="15">
        <f>WORKDAY(D103,1,Feriados)</f>
        <v/>
      </c>
      <c r="D104" s="15">
        <f>C104+B104</f>
        <v/>
      </c>
      <c r="E104" s="16" t="inlineStr">
        <is>
          <t>1.3.9.3</t>
        </is>
      </c>
      <c r="F104" s="16" t="inlineStr">
        <is>
          <t>Atividade</t>
        </is>
      </c>
      <c r="G104" s="17" t="inlineStr">
        <is>
          <t>Obras Concluídas</t>
        </is>
      </c>
      <c r="H104" s="17" t="inlineStr">
        <is>
          <t>Fiscalização de obras (Resulta)</t>
        </is>
      </c>
      <c r="I104" s="16" t="n">
        <v>70838</v>
      </c>
      <c r="J104" s="17" t="inlineStr">
        <is>
          <t>PN 2026 – blocos RL/RT</t>
        </is>
      </c>
    </row>
    <row r="105" outlineLevel="1">
      <c r="A105" s="19" t="inlineStr">
        <is>
          <t>Cadastro EO/ Integração parcial</t>
        </is>
      </c>
      <c r="B105" s="14">
        <f>Parâmetros!$B$8</f>
        <v/>
      </c>
      <c r="C105" s="15">
        <f>WORKDAY(D104,1,Feriados)</f>
        <v/>
      </c>
      <c r="D105" s="15">
        <f>C105+B105</f>
        <v/>
      </c>
      <c r="E105" s="16" t="inlineStr">
        <is>
          <t>1.3.9.4</t>
        </is>
      </c>
      <c r="F105" s="16" t="inlineStr">
        <is>
          <t>Atividade</t>
        </is>
      </c>
      <c r="G105" s="17" t="inlineStr">
        <is>
          <t>Fiscalização</t>
        </is>
      </c>
      <c r="H105" s="17" t="inlineStr">
        <is>
          <t>DCMD (Cadastro EO/TS)</t>
        </is>
      </c>
      <c r="I105" s="16" t="n">
        <v>70838</v>
      </c>
      <c r="J105" s="17" t="inlineStr">
        <is>
          <t>PN 2026 – blocos RL/RT</t>
        </is>
      </c>
    </row>
    <row r="106" outlineLevel="1">
      <c r="A106" s="19" t="inlineStr">
        <is>
          <t>Entrega do TCI pela empreiteira / Integração final</t>
        </is>
      </c>
      <c r="B106" s="14">
        <f>Parâmetros!$B$9</f>
        <v/>
      </c>
      <c r="C106" s="15">
        <f>WORKDAY(D105,1,Feriados)</f>
        <v/>
      </c>
      <c r="D106" s="15">
        <f>C106+B106</f>
        <v/>
      </c>
      <c r="E106" s="16" t="inlineStr">
        <is>
          <t>1.3.9.5</t>
        </is>
      </c>
      <c r="F106" s="16" t="inlineStr">
        <is>
          <t>Atividade</t>
        </is>
      </c>
      <c r="G106" s="17" t="inlineStr">
        <is>
          <t>Cadastro EO</t>
        </is>
      </c>
      <c r="H106" s="17" t="inlineStr">
        <is>
          <t>EPS / DCMD</t>
        </is>
      </c>
      <c r="I106" s="16" t="n">
        <v>70838</v>
      </c>
      <c r="J106" s="17" t="inlineStr">
        <is>
          <t>PN 2026 – blocos RL/RT</t>
        </is>
      </c>
    </row>
    <row r="107" outlineLevel="1">
      <c r="A107" s="19" t="inlineStr">
        <is>
          <t>Abertura de chamado/ Atendimento GAT</t>
        </is>
      </c>
      <c r="B107" s="14">
        <f>Parâmetros!$B$10</f>
        <v/>
      </c>
      <c r="C107" s="15">
        <f>C106</f>
        <v/>
      </c>
      <c r="D107" s="15">
        <f>C107+B107</f>
        <v/>
      </c>
      <c r="E107" s="16" t="inlineStr">
        <is>
          <t>1.3.9.6</t>
        </is>
      </c>
      <c r="F107" s="16" t="inlineStr">
        <is>
          <t>Atividade</t>
        </is>
      </c>
      <c r="G107" s="17" t="inlineStr">
        <is>
          <t>TCI (início)</t>
        </is>
      </c>
      <c r="H107" s="17" t="inlineStr">
        <is>
          <t>DCMD / GAT</t>
        </is>
      </c>
      <c r="I107" s="16" t="n">
        <v>70838</v>
      </c>
      <c r="J107" s="17" t="inlineStr">
        <is>
          <t>PN 2026 – blocos RL/RT</t>
        </is>
      </c>
    </row>
    <row r="108" outlineLevel="1">
      <c r="A108" s="19" t="inlineStr">
        <is>
          <t>Comissionar Equipamentos</t>
        </is>
      </c>
      <c r="B108" s="14">
        <f>Parâmetros!$B$11</f>
        <v/>
      </c>
      <c r="C108" s="15">
        <f>C106</f>
        <v/>
      </c>
      <c r="D108" s="15">
        <f>C108+B108</f>
        <v/>
      </c>
      <c r="E108" s="16" t="inlineStr">
        <is>
          <t>1.3.9.7</t>
        </is>
      </c>
      <c r="F108" s="16" t="inlineStr">
        <is>
          <t>Atividade</t>
        </is>
      </c>
      <c r="G108" s="17" t="inlineStr">
        <is>
          <t>TCI (início)</t>
        </is>
      </c>
      <c r="H108" s="17" t="inlineStr">
        <is>
          <t>DMSL / DEOP (ajuste de proteção)</t>
        </is>
      </c>
      <c r="I108" s="16" t="n">
        <v>70838</v>
      </c>
      <c r="J108" s="17" t="inlineStr">
        <is>
          <t>PN 2026 – blocos RL/RT</t>
        </is>
      </c>
    </row>
    <row r="109" outlineLevel="1">
      <c r="A109" s="19" t="inlineStr">
        <is>
          <t>Equipamentos em Operação</t>
        </is>
      </c>
      <c r="B109" s="14" t="n">
        <v>0</v>
      </c>
      <c r="C109" s="15">
        <f>D108</f>
        <v/>
      </c>
      <c r="D109" s="15">
        <f>C109+B109</f>
        <v/>
      </c>
      <c r="E109" s="16" t="inlineStr">
        <is>
          <t>1.3.9.8</t>
        </is>
      </c>
      <c r="F109" s="16" t="inlineStr">
        <is>
          <t>Marco</t>
        </is>
      </c>
      <c r="G109" s="17" t="inlineStr">
        <is>
          <t>Comissionar Equip.</t>
        </is>
      </c>
      <c r="H109" s="17" t="inlineStr">
        <is>
          <t>DMSL / DEOP</t>
        </is>
      </c>
      <c r="I109" s="16" t="n">
        <v>70838</v>
      </c>
      <c r="J109" s="17" t="inlineStr">
        <is>
          <t>Marco = término do comissionamento</t>
        </is>
      </c>
    </row>
    <row r="110" outlineLevel="1">
      <c r="A110" s="19" t="inlineStr">
        <is>
          <t>Encerramento Técnico</t>
        </is>
      </c>
      <c r="B110" s="14">
        <f>Parâmetros!$B$12</f>
        <v/>
      </c>
      <c r="C110" s="15">
        <f>WORKDAY(D109,1,Feriados)</f>
        <v/>
      </c>
      <c r="D110" s="15">
        <f>WORKDAY(C110,B110,Feriados)</f>
        <v/>
      </c>
      <c r="E110" s="16" t="inlineStr">
        <is>
          <t>1.3.9.9</t>
        </is>
      </c>
      <c r="F110" s="16" t="inlineStr">
        <is>
          <t>Atividade</t>
        </is>
      </c>
      <c r="G110" s="17" t="inlineStr">
        <is>
          <t>Equip. em Operação</t>
        </is>
      </c>
      <c r="H110" s="17" t="inlineStr">
        <is>
          <t>DCMD (Encerramento Técnico)</t>
        </is>
      </c>
      <c r="I110" s="16" t="n">
        <v>70838</v>
      </c>
      <c r="J110" s="17" t="inlineStr">
        <is>
          <t>PN 2026 – blocos RL/RT (dias úteis)</t>
        </is>
      </c>
    </row>
    <row r="111" outlineLevel="1">
      <c r="A111" s="19" t="inlineStr">
        <is>
          <t>Encerramento Contábil</t>
        </is>
      </c>
      <c r="B111" s="14">
        <f>Parâmetros!$B$13</f>
        <v/>
      </c>
      <c r="C111" s="15">
        <f>WORKDAY(D110,1,Feriados)</f>
        <v/>
      </c>
      <c r="D111" s="15">
        <f>WORKDAY(C111,B111,Feriados)</f>
        <v/>
      </c>
      <c r="E111" s="16" t="inlineStr">
        <is>
          <t>1.3.9.10</t>
        </is>
      </c>
      <c r="F111" s="16" t="inlineStr">
        <is>
          <t>Atividade</t>
        </is>
      </c>
      <c r="G111" s="17" t="inlineStr">
        <is>
          <t>Encerramento Técnico</t>
        </is>
      </c>
      <c r="H111" s="17" t="inlineStr">
        <is>
          <t>DCMD / Contabilidade</t>
        </is>
      </c>
      <c r="I111" s="16" t="n">
        <v>70838</v>
      </c>
      <c r="J111" s="17" t="inlineStr">
        <is>
          <t>PN 2026 – blocos RL/RT (dias úteis)</t>
        </is>
      </c>
    </row>
    <row r="112">
      <c r="A112" s="18" t="inlineStr">
        <is>
          <t>Instalação de RT e Balanceamento de Fase - LD Paraíso I - Caseara - 2PR0 - QP (70978)</t>
        </is>
      </c>
      <c r="B112" s="4">
        <f>D112-C112</f>
        <v/>
      </c>
      <c r="C112" s="5">
        <f>MIN(C113:C122)</f>
        <v/>
      </c>
      <c r="D112" s="5">
        <f>MAX(D113:D122)</f>
        <v/>
      </c>
      <c r="E112" s="6" t="inlineStr">
        <is>
          <t>1.3.10</t>
        </is>
      </c>
      <c r="F112" s="6" t="inlineStr">
        <is>
          <t>Pacote</t>
        </is>
      </c>
      <c r="G112" s="7" t="inlineStr"/>
      <c r="H112" s="7" t="inlineStr">
        <is>
          <t>GP Sandro Padilha</t>
        </is>
      </c>
      <c r="I112" s="6" t="n">
        <v>70978</v>
      </c>
      <c r="J112" s="7" t="inlineStr">
        <is>
          <t>1 RT 34,5 kV + balanceamento de fase (3 ramais)</t>
        </is>
      </c>
    </row>
    <row r="113" outlineLevel="1">
      <c r="A113" s="19" t="inlineStr">
        <is>
          <t>Executar Obras</t>
        </is>
      </c>
      <c r="B113" s="14">
        <f>Parâmetros!$B$5</f>
        <v/>
      </c>
      <c r="C113" s="20" t="n">
        <v>46497</v>
      </c>
      <c r="D113" s="15">
        <f>C113+B113</f>
        <v/>
      </c>
      <c r="E113" s="16" t="inlineStr">
        <is>
          <t>1.3.10.1</t>
        </is>
      </c>
      <c r="F113" s="16" t="inlineStr">
        <is>
          <t>Atividade</t>
        </is>
      </c>
      <c r="G113" s="17" t="inlineStr">
        <is>
          <t>Início por meta de energização</t>
        </is>
      </c>
      <c r="H113" s="17" t="inlineStr">
        <is>
          <t>EPS (executora) / Supervisor de Obras DCMD</t>
        </is>
      </c>
      <c r="I113" s="16" t="n">
        <v>70978</v>
      </c>
      <c r="J113" s="17" t="inlineStr">
        <is>
          <t>PN 2026 – blocos RL/RT</t>
        </is>
      </c>
    </row>
    <row r="114" outlineLevel="1">
      <c r="A114" s="19" t="inlineStr">
        <is>
          <t>Obras Concluídas</t>
        </is>
      </c>
      <c r="B114" s="14" t="n">
        <v>0</v>
      </c>
      <c r="C114" s="15">
        <f>D113</f>
        <v/>
      </c>
      <c r="D114" s="15">
        <f>C114+B114</f>
        <v/>
      </c>
      <c r="E114" s="16" t="inlineStr">
        <is>
          <t>1.3.10.2</t>
        </is>
      </c>
      <c r="F114" s="16" t="inlineStr">
        <is>
          <t>Marco</t>
        </is>
      </c>
      <c r="G114" s="17" t="inlineStr">
        <is>
          <t>Executar Obras</t>
        </is>
      </c>
      <c r="H114" s="17" t="inlineStr">
        <is>
          <t>EPS</t>
        </is>
      </c>
      <c r="I114" s="16" t="n">
        <v>70978</v>
      </c>
      <c r="J114" s="17" t="inlineStr">
        <is>
          <t>Marco</t>
        </is>
      </c>
    </row>
    <row r="115" outlineLevel="1">
      <c r="A115" s="19" t="inlineStr">
        <is>
          <t>Fiscalização</t>
        </is>
      </c>
      <c r="B115" s="14">
        <f>Parâmetros!$B$7</f>
        <v/>
      </c>
      <c r="C115" s="15">
        <f>WORKDAY(D114,1,Feriados)</f>
        <v/>
      </c>
      <c r="D115" s="15">
        <f>C115+B115</f>
        <v/>
      </c>
      <c r="E115" s="16" t="inlineStr">
        <is>
          <t>1.3.10.3</t>
        </is>
      </c>
      <c r="F115" s="16" t="inlineStr">
        <is>
          <t>Atividade</t>
        </is>
      </c>
      <c r="G115" s="17" t="inlineStr">
        <is>
          <t>Obras Concluídas</t>
        </is>
      </c>
      <c r="H115" s="17" t="inlineStr">
        <is>
          <t>Fiscalização de obras (Resulta)</t>
        </is>
      </c>
      <c r="I115" s="16" t="n">
        <v>70978</v>
      </c>
      <c r="J115" s="17" t="inlineStr">
        <is>
          <t>PN 2026 – blocos RL/RT</t>
        </is>
      </c>
    </row>
    <row r="116" outlineLevel="1">
      <c r="A116" s="19" t="inlineStr">
        <is>
          <t>Cadastro EO/ Integração parcial</t>
        </is>
      </c>
      <c r="B116" s="14">
        <f>Parâmetros!$B$8</f>
        <v/>
      </c>
      <c r="C116" s="15">
        <f>WORKDAY(D115,1,Feriados)</f>
        <v/>
      </c>
      <c r="D116" s="15">
        <f>C116+B116</f>
        <v/>
      </c>
      <c r="E116" s="16" t="inlineStr">
        <is>
          <t>1.3.10.4</t>
        </is>
      </c>
      <c r="F116" s="16" t="inlineStr">
        <is>
          <t>Atividade</t>
        </is>
      </c>
      <c r="G116" s="17" t="inlineStr">
        <is>
          <t>Fiscalização</t>
        </is>
      </c>
      <c r="H116" s="17" t="inlineStr">
        <is>
          <t>DCMD (Cadastro EO/TS)</t>
        </is>
      </c>
      <c r="I116" s="16" t="n">
        <v>70978</v>
      </c>
      <c r="J116" s="17" t="inlineStr">
        <is>
          <t>PN 2026 – blocos RL/RT</t>
        </is>
      </c>
    </row>
    <row r="117" outlineLevel="1">
      <c r="A117" s="19" t="inlineStr">
        <is>
          <t>Entrega do TCI pela empreiteira / Integração final</t>
        </is>
      </c>
      <c r="B117" s="14">
        <f>Parâmetros!$B$9</f>
        <v/>
      </c>
      <c r="C117" s="15">
        <f>WORKDAY(D116,1,Feriados)</f>
        <v/>
      </c>
      <c r="D117" s="15">
        <f>C117+B117</f>
        <v/>
      </c>
      <c r="E117" s="16" t="inlineStr">
        <is>
          <t>1.3.10.5</t>
        </is>
      </c>
      <c r="F117" s="16" t="inlineStr">
        <is>
          <t>Atividade</t>
        </is>
      </c>
      <c r="G117" s="17" t="inlineStr">
        <is>
          <t>Cadastro EO</t>
        </is>
      </c>
      <c r="H117" s="17" t="inlineStr">
        <is>
          <t>EPS / DCMD</t>
        </is>
      </c>
      <c r="I117" s="16" t="n">
        <v>70978</v>
      </c>
      <c r="J117" s="17" t="inlineStr">
        <is>
          <t>PN 2026 – blocos RL/RT</t>
        </is>
      </c>
    </row>
    <row r="118" outlineLevel="1">
      <c r="A118" s="19" t="inlineStr">
        <is>
          <t>Abertura de chamado/ Atendimento GAT</t>
        </is>
      </c>
      <c r="B118" s="14">
        <f>Parâmetros!$B$10</f>
        <v/>
      </c>
      <c r="C118" s="15">
        <f>C117</f>
        <v/>
      </c>
      <c r="D118" s="15">
        <f>C118+B118</f>
        <v/>
      </c>
      <c r="E118" s="16" t="inlineStr">
        <is>
          <t>1.3.10.6</t>
        </is>
      </c>
      <c r="F118" s="16" t="inlineStr">
        <is>
          <t>Atividade</t>
        </is>
      </c>
      <c r="G118" s="17" t="inlineStr">
        <is>
          <t>TCI (início)</t>
        </is>
      </c>
      <c r="H118" s="17" t="inlineStr">
        <is>
          <t>DCMD / GAT</t>
        </is>
      </c>
      <c r="I118" s="16" t="n">
        <v>70978</v>
      </c>
      <c r="J118" s="17" t="inlineStr">
        <is>
          <t>PN 2026 – blocos RL/RT</t>
        </is>
      </c>
    </row>
    <row r="119" outlineLevel="1">
      <c r="A119" s="19" t="inlineStr">
        <is>
          <t>Comissionar Equipamentos</t>
        </is>
      </c>
      <c r="B119" s="14">
        <f>Parâmetros!$B$11</f>
        <v/>
      </c>
      <c r="C119" s="15">
        <f>C117</f>
        <v/>
      </c>
      <c r="D119" s="15">
        <f>C119+B119</f>
        <v/>
      </c>
      <c r="E119" s="16" t="inlineStr">
        <is>
          <t>1.3.10.7</t>
        </is>
      </c>
      <c r="F119" s="16" t="inlineStr">
        <is>
          <t>Atividade</t>
        </is>
      </c>
      <c r="G119" s="17" t="inlineStr">
        <is>
          <t>TCI (início)</t>
        </is>
      </c>
      <c r="H119" s="17" t="inlineStr">
        <is>
          <t>DMSL / DEOP (ajuste de proteção)</t>
        </is>
      </c>
      <c r="I119" s="16" t="n">
        <v>70978</v>
      </c>
      <c r="J119" s="17" t="inlineStr">
        <is>
          <t>PN 2026 – blocos RL/RT</t>
        </is>
      </c>
    </row>
    <row r="120" outlineLevel="1">
      <c r="A120" s="19" t="inlineStr">
        <is>
          <t>Equipamentos em Operação</t>
        </is>
      </c>
      <c r="B120" s="14" t="n">
        <v>0</v>
      </c>
      <c r="C120" s="15">
        <f>D119</f>
        <v/>
      </c>
      <c r="D120" s="15">
        <f>C120+B120</f>
        <v/>
      </c>
      <c r="E120" s="16" t="inlineStr">
        <is>
          <t>1.3.10.8</t>
        </is>
      </c>
      <c r="F120" s="16" t="inlineStr">
        <is>
          <t>Marco</t>
        </is>
      </c>
      <c r="G120" s="17" t="inlineStr">
        <is>
          <t>Comissionar Equip.</t>
        </is>
      </c>
      <c r="H120" s="17" t="inlineStr">
        <is>
          <t>DMSL / DEOP</t>
        </is>
      </c>
      <c r="I120" s="16" t="n">
        <v>70978</v>
      </c>
      <c r="J120" s="17" t="inlineStr">
        <is>
          <t>Marco = término do comissionamento</t>
        </is>
      </c>
    </row>
    <row r="121" outlineLevel="1">
      <c r="A121" s="19" t="inlineStr">
        <is>
          <t>Encerramento Técnico</t>
        </is>
      </c>
      <c r="B121" s="14">
        <f>Parâmetros!$B$12</f>
        <v/>
      </c>
      <c r="C121" s="15">
        <f>WORKDAY(D120,1,Feriados)</f>
        <v/>
      </c>
      <c r="D121" s="15">
        <f>WORKDAY(C121,B121,Feriados)</f>
        <v/>
      </c>
      <c r="E121" s="16" t="inlineStr">
        <is>
          <t>1.3.10.9</t>
        </is>
      </c>
      <c r="F121" s="16" t="inlineStr">
        <is>
          <t>Atividade</t>
        </is>
      </c>
      <c r="G121" s="17" t="inlineStr">
        <is>
          <t>Equip. em Operação</t>
        </is>
      </c>
      <c r="H121" s="17" t="inlineStr">
        <is>
          <t>DCMD (Encerramento Técnico)</t>
        </is>
      </c>
      <c r="I121" s="16" t="n">
        <v>70978</v>
      </c>
      <c r="J121" s="17" t="inlineStr">
        <is>
          <t>PN 2026 – blocos RL/RT (dias úteis)</t>
        </is>
      </c>
    </row>
    <row r="122" outlineLevel="1">
      <c r="A122" s="19" t="inlineStr">
        <is>
          <t>Encerramento Contábil</t>
        </is>
      </c>
      <c r="B122" s="14">
        <f>Parâmetros!$B$13</f>
        <v/>
      </c>
      <c r="C122" s="15">
        <f>WORKDAY(D121,1,Feriados)</f>
        <v/>
      </c>
      <c r="D122" s="15">
        <f>WORKDAY(C122,B122,Feriados)</f>
        <v/>
      </c>
      <c r="E122" s="16" t="inlineStr">
        <is>
          <t>1.3.10.10</t>
        </is>
      </c>
      <c r="F122" s="16" t="inlineStr">
        <is>
          <t>Atividade</t>
        </is>
      </c>
      <c r="G122" s="17" t="inlineStr">
        <is>
          <t>Encerramento Técnico</t>
        </is>
      </c>
      <c r="H122" s="17" t="inlineStr">
        <is>
          <t>DCMD / Contabilidade</t>
        </is>
      </c>
      <c r="I122" s="16" t="n">
        <v>70978</v>
      </c>
      <c r="J122" s="17" t="inlineStr">
        <is>
          <t>PN 2026 – blocos RL/RT (dias úteis)</t>
        </is>
      </c>
    </row>
    <row r="123">
      <c r="A123" s="18" t="inlineStr">
        <is>
          <t>Instalação de RT - LD Araguaína - Babaçulândia - 2AR0 - QP (89249)</t>
        </is>
      </c>
      <c r="B123" s="4">
        <f>D123-C123</f>
        <v/>
      </c>
      <c r="C123" s="5">
        <f>MIN(C124:C133)</f>
        <v/>
      </c>
      <c r="D123" s="5">
        <f>MAX(D124:D133)</f>
        <v/>
      </c>
      <c r="E123" s="6" t="inlineStr">
        <is>
          <t>1.3.11</t>
        </is>
      </c>
      <c r="F123" s="6" t="inlineStr">
        <is>
          <t>Pacote</t>
        </is>
      </c>
      <c r="G123" s="7" t="inlineStr"/>
      <c r="H123" s="7" t="inlineStr">
        <is>
          <t>GP Sandro Padilha</t>
        </is>
      </c>
      <c r="I123" s="6" t="n">
        <v>89249</v>
      </c>
      <c r="J123" s="7" t="inlineStr">
        <is>
          <t>1 RT 34,5 kV</t>
        </is>
      </c>
    </row>
    <row r="124" outlineLevel="1">
      <c r="A124" s="19" t="inlineStr">
        <is>
          <t>Executar Obras</t>
        </is>
      </c>
      <c r="B124" s="14">
        <f>Parâmetros!$B$5</f>
        <v/>
      </c>
      <c r="C124" s="20" t="n">
        <v>46560</v>
      </c>
      <c r="D124" s="15">
        <f>C124+B124</f>
        <v/>
      </c>
      <c r="E124" s="16" t="inlineStr">
        <is>
          <t>1.3.11.1</t>
        </is>
      </c>
      <c r="F124" s="16" t="inlineStr">
        <is>
          <t>Atividade</t>
        </is>
      </c>
      <c r="G124" s="17" t="inlineStr">
        <is>
          <t>Início por meta de energização</t>
        </is>
      </c>
      <c r="H124" s="17" t="inlineStr">
        <is>
          <t>EPS (executora) / Supervisor de Obras DCMD</t>
        </is>
      </c>
      <c r="I124" s="16" t="n">
        <v>89249</v>
      </c>
      <c r="J124" s="17" t="inlineStr">
        <is>
          <t>PN 2026 – blocos RL/RT</t>
        </is>
      </c>
    </row>
    <row r="125" outlineLevel="1">
      <c r="A125" s="19" t="inlineStr">
        <is>
          <t>Obras Concluídas</t>
        </is>
      </c>
      <c r="B125" s="14" t="n">
        <v>0</v>
      </c>
      <c r="C125" s="15">
        <f>D124</f>
        <v/>
      </c>
      <c r="D125" s="15">
        <f>C125+B125</f>
        <v/>
      </c>
      <c r="E125" s="16" t="inlineStr">
        <is>
          <t>1.3.11.2</t>
        </is>
      </c>
      <c r="F125" s="16" t="inlineStr">
        <is>
          <t>Marco</t>
        </is>
      </c>
      <c r="G125" s="17" t="inlineStr">
        <is>
          <t>Executar Obras</t>
        </is>
      </c>
      <c r="H125" s="17" t="inlineStr">
        <is>
          <t>EPS</t>
        </is>
      </c>
      <c r="I125" s="16" t="n">
        <v>89249</v>
      </c>
      <c r="J125" s="17" t="inlineStr">
        <is>
          <t>Marco</t>
        </is>
      </c>
    </row>
    <row r="126" outlineLevel="1">
      <c r="A126" s="19" t="inlineStr">
        <is>
          <t>Fiscalização</t>
        </is>
      </c>
      <c r="B126" s="14">
        <f>Parâmetros!$B$7</f>
        <v/>
      </c>
      <c r="C126" s="15">
        <f>WORKDAY(D125,1,Feriados)</f>
        <v/>
      </c>
      <c r="D126" s="15">
        <f>C126+B126</f>
        <v/>
      </c>
      <c r="E126" s="16" t="inlineStr">
        <is>
          <t>1.3.11.3</t>
        </is>
      </c>
      <c r="F126" s="16" t="inlineStr">
        <is>
          <t>Atividade</t>
        </is>
      </c>
      <c r="G126" s="17" t="inlineStr">
        <is>
          <t>Obras Concluídas</t>
        </is>
      </c>
      <c r="H126" s="17" t="inlineStr">
        <is>
          <t>Fiscalização de obras (Resulta)</t>
        </is>
      </c>
      <c r="I126" s="16" t="n">
        <v>89249</v>
      </c>
      <c r="J126" s="17" t="inlineStr">
        <is>
          <t>PN 2026 – blocos RL/RT</t>
        </is>
      </c>
    </row>
    <row r="127" outlineLevel="1">
      <c r="A127" s="19" t="inlineStr">
        <is>
          <t>Cadastro EO/ Integração parcial</t>
        </is>
      </c>
      <c r="B127" s="14">
        <f>Parâmetros!$B$8</f>
        <v/>
      </c>
      <c r="C127" s="15">
        <f>WORKDAY(D126,1,Feriados)</f>
        <v/>
      </c>
      <c r="D127" s="15">
        <f>C127+B127</f>
        <v/>
      </c>
      <c r="E127" s="16" t="inlineStr">
        <is>
          <t>1.3.11.4</t>
        </is>
      </c>
      <c r="F127" s="16" t="inlineStr">
        <is>
          <t>Atividade</t>
        </is>
      </c>
      <c r="G127" s="17" t="inlineStr">
        <is>
          <t>Fiscalização</t>
        </is>
      </c>
      <c r="H127" s="17" t="inlineStr">
        <is>
          <t>DCMD (Cadastro EO/TS)</t>
        </is>
      </c>
      <c r="I127" s="16" t="n">
        <v>89249</v>
      </c>
      <c r="J127" s="17" t="inlineStr">
        <is>
          <t>PN 2026 – blocos RL/RT</t>
        </is>
      </c>
    </row>
    <row r="128" outlineLevel="1">
      <c r="A128" s="19" t="inlineStr">
        <is>
          <t>Entrega do TCI pela empreiteira / Integração final</t>
        </is>
      </c>
      <c r="B128" s="14">
        <f>Parâmetros!$B$9</f>
        <v/>
      </c>
      <c r="C128" s="15">
        <f>WORKDAY(D127,1,Feriados)</f>
        <v/>
      </c>
      <c r="D128" s="15">
        <f>C128+B128</f>
        <v/>
      </c>
      <c r="E128" s="16" t="inlineStr">
        <is>
          <t>1.3.11.5</t>
        </is>
      </c>
      <c r="F128" s="16" t="inlineStr">
        <is>
          <t>Atividade</t>
        </is>
      </c>
      <c r="G128" s="17" t="inlineStr">
        <is>
          <t>Cadastro EO</t>
        </is>
      </c>
      <c r="H128" s="17" t="inlineStr">
        <is>
          <t>EPS / DCMD</t>
        </is>
      </c>
      <c r="I128" s="16" t="n">
        <v>89249</v>
      </c>
      <c r="J128" s="17" t="inlineStr">
        <is>
          <t>PN 2026 – blocos RL/RT</t>
        </is>
      </c>
    </row>
    <row r="129" outlineLevel="1">
      <c r="A129" s="19" t="inlineStr">
        <is>
          <t>Abertura de chamado/ Atendimento GAT</t>
        </is>
      </c>
      <c r="B129" s="14">
        <f>Parâmetros!$B$10</f>
        <v/>
      </c>
      <c r="C129" s="15">
        <f>C128</f>
        <v/>
      </c>
      <c r="D129" s="15">
        <f>C129+B129</f>
        <v/>
      </c>
      <c r="E129" s="16" t="inlineStr">
        <is>
          <t>1.3.11.6</t>
        </is>
      </c>
      <c r="F129" s="16" t="inlineStr">
        <is>
          <t>Atividade</t>
        </is>
      </c>
      <c r="G129" s="17" t="inlineStr">
        <is>
          <t>TCI (início)</t>
        </is>
      </c>
      <c r="H129" s="17" t="inlineStr">
        <is>
          <t>DCMD / GAT</t>
        </is>
      </c>
      <c r="I129" s="16" t="n">
        <v>89249</v>
      </c>
      <c r="J129" s="17" t="inlineStr">
        <is>
          <t>PN 2026 – blocos RL/RT</t>
        </is>
      </c>
    </row>
    <row r="130" outlineLevel="1">
      <c r="A130" s="19" t="inlineStr">
        <is>
          <t>Comissionar Equipamentos</t>
        </is>
      </c>
      <c r="B130" s="14">
        <f>Parâmetros!$B$11</f>
        <v/>
      </c>
      <c r="C130" s="15">
        <f>C128</f>
        <v/>
      </c>
      <c r="D130" s="15">
        <f>C130+B130</f>
        <v/>
      </c>
      <c r="E130" s="16" t="inlineStr">
        <is>
          <t>1.3.11.7</t>
        </is>
      </c>
      <c r="F130" s="16" t="inlineStr">
        <is>
          <t>Atividade</t>
        </is>
      </c>
      <c r="G130" s="17" t="inlineStr">
        <is>
          <t>TCI (início)</t>
        </is>
      </c>
      <c r="H130" s="17" t="inlineStr">
        <is>
          <t>DMSL / DEOP (ajuste de proteção)</t>
        </is>
      </c>
      <c r="I130" s="16" t="n">
        <v>89249</v>
      </c>
      <c r="J130" s="17" t="inlineStr">
        <is>
          <t>PN 2026 – blocos RL/RT</t>
        </is>
      </c>
    </row>
    <row r="131" outlineLevel="1">
      <c r="A131" s="19" t="inlineStr">
        <is>
          <t>Equipamentos em Operação</t>
        </is>
      </c>
      <c r="B131" s="14" t="n">
        <v>0</v>
      </c>
      <c r="C131" s="15">
        <f>D130</f>
        <v/>
      </c>
      <c r="D131" s="15">
        <f>C131+B131</f>
        <v/>
      </c>
      <c r="E131" s="16" t="inlineStr">
        <is>
          <t>1.3.11.8</t>
        </is>
      </c>
      <c r="F131" s="16" t="inlineStr">
        <is>
          <t>Marco</t>
        </is>
      </c>
      <c r="G131" s="17" t="inlineStr">
        <is>
          <t>Comissionar Equip.</t>
        </is>
      </c>
      <c r="H131" s="17" t="inlineStr">
        <is>
          <t>DMSL / DEOP</t>
        </is>
      </c>
      <c r="I131" s="16" t="n">
        <v>89249</v>
      </c>
      <c r="J131" s="17" t="inlineStr">
        <is>
          <t>Marco = término do comissionamento</t>
        </is>
      </c>
    </row>
    <row r="132" outlineLevel="1">
      <c r="A132" s="19" t="inlineStr">
        <is>
          <t>Encerramento Técnico</t>
        </is>
      </c>
      <c r="B132" s="14">
        <f>Parâmetros!$B$12</f>
        <v/>
      </c>
      <c r="C132" s="15">
        <f>WORKDAY(D131,1,Feriados)</f>
        <v/>
      </c>
      <c r="D132" s="15">
        <f>WORKDAY(C132,B132,Feriados)</f>
        <v/>
      </c>
      <c r="E132" s="16" t="inlineStr">
        <is>
          <t>1.3.11.9</t>
        </is>
      </c>
      <c r="F132" s="16" t="inlineStr">
        <is>
          <t>Atividade</t>
        </is>
      </c>
      <c r="G132" s="17" t="inlineStr">
        <is>
          <t>Equip. em Operação</t>
        </is>
      </c>
      <c r="H132" s="17" t="inlineStr">
        <is>
          <t>DCMD (Encerramento Técnico)</t>
        </is>
      </c>
      <c r="I132" s="16" t="n">
        <v>89249</v>
      </c>
      <c r="J132" s="17" t="inlineStr">
        <is>
          <t>PN 2026 – blocos RL/RT (dias úteis)</t>
        </is>
      </c>
    </row>
    <row r="133" outlineLevel="1">
      <c r="A133" s="19" t="inlineStr">
        <is>
          <t>Encerramento Contábil</t>
        </is>
      </c>
      <c r="B133" s="14">
        <f>Parâmetros!$B$13</f>
        <v/>
      </c>
      <c r="C133" s="15">
        <f>WORKDAY(D132,1,Feriados)</f>
        <v/>
      </c>
      <c r="D133" s="15">
        <f>WORKDAY(C133,B133,Feriados)</f>
        <v/>
      </c>
      <c r="E133" s="16" t="inlineStr">
        <is>
          <t>1.3.11.10</t>
        </is>
      </c>
      <c r="F133" s="16" t="inlineStr">
        <is>
          <t>Atividade</t>
        </is>
      </c>
      <c r="G133" s="17" t="inlineStr">
        <is>
          <t>Encerramento Técnico</t>
        </is>
      </c>
      <c r="H133" s="17" t="inlineStr">
        <is>
          <t>DCMD / Contabilidade</t>
        </is>
      </c>
      <c r="I133" s="16" t="n">
        <v>89249</v>
      </c>
      <c r="J133" s="17" t="inlineStr">
        <is>
          <t>PN 2026 – blocos RL/RT (dias úteis)</t>
        </is>
      </c>
    </row>
    <row r="134">
      <c r="A134" s="18" t="inlineStr">
        <is>
          <t>Instalação de RT - 1 de Figueirópolis - 2FGR - QP (89307)</t>
        </is>
      </c>
      <c r="B134" s="4">
        <f>D134-C134</f>
        <v/>
      </c>
      <c r="C134" s="5">
        <f>MIN(C135:C144)</f>
        <v/>
      </c>
      <c r="D134" s="5">
        <f>MAX(D135:D144)</f>
        <v/>
      </c>
      <c r="E134" s="6" t="inlineStr">
        <is>
          <t>1.3.12</t>
        </is>
      </c>
      <c r="F134" s="6" t="inlineStr">
        <is>
          <t>Pacote</t>
        </is>
      </c>
      <c r="G134" s="7" t="inlineStr"/>
      <c r="H134" s="7" t="inlineStr">
        <is>
          <t>GP Sandro Padilha</t>
        </is>
      </c>
      <c r="I134" s="6" t="n">
        <v>89307</v>
      </c>
      <c r="J134" s="7" t="inlineStr">
        <is>
          <t>1 RT 13,8 kV + remanejamento de 1 RL 13,8 kV</t>
        </is>
      </c>
    </row>
    <row r="135" outlineLevel="1">
      <c r="A135" s="19" t="inlineStr">
        <is>
          <t>Executar Obras</t>
        </is>
      </c>
      <c r="B135" s="14">
        <f>Parâmetros!$B$5</f>
        <v/>
      </c>
      <c r="C135" s="20" t="n">
        <v>46560</v>
      </c>
      <c r="D135" s="15">
        <f>C135+B135</f>
        <v/>
      </c>
      <c r="E135" s="16" t="inlineStr">
        <is>
          <t>1.3.12.1</t>
        </is>
      </c>
      <c r="F135" s="16" t="inlineStr">
        <is>
          <t>Atividade</t>
        </is>
      </c>
      <c r="G135" s="17" t="inlineStr">
        <is>
          <t>Início por meta de energização</t>
        </is>
      </c>
      <c r="H135" s="17" t="inlineStr">
        <is>
          <t>EPS (executora) / Supervisor de Obras DCMD</t>
        </is>
      </c>
      <c r="I135" s="16" t="n">
        <v>89307</v>
      </c>
      <c r="J135" s="17" t="inlineStr">
        <is>
          <t>PN 2026 – blocos RL/RT</t>
        </is>
      </c>
    </row>
    <row r="136" outlineLevel="1">
      <c r="A136" s="19" t="inlineStr">
        <is>
          <t>Obras Concluídas</t>
        </is>
      </c>
      <c r="B136" s="14" t="n">
        <v>0</v>
      </c>
      <c r="C136" s="15">
        <f>D135</f>
        <v/>
      </c>
      <c r="D136" s="15">
        <f>C136+B136</f>
        <v/>
      </c>
      <c r="E136" s="16" t="inlineStr">
        <is>
          <t>1.3.12.2</t>
        </is>
      </c>
      <c r="F136" s="16" t="inlineStr">
        <is>
          <t>Marco</t>
        </is>
      </c>
      <c r="G136" s="17" t="inlineStr">
        <is>
          <t>Executar Obras</t>
        </is>
      </c>
      <c r="H136" s="17" t="inlineStr">
        <is>
          <t>EPS</t>
        </is>
      </c>
      <c r="I136" s="16" t="n">
        <v>89307</v>
      </c>
      <c r="J136" s="17" t="inlineStr">
        <is>
          <t>Marco</t>
        </is>
      </c>
    </row>
    <row r="137" outlineLevel="1">
      <c r="A137" s="19" t="inlineStr">
        <is>
          <t>Fiscalização</t>
        </is>
      </c>
      <c r="B137" s="14">
        <f>Parâmetros!$B$7</f>
        <v/>
      </c>
      <c r="C137" s="15">
        <f>WORKDAY(D136,1,Feriados)</f>
        <v/>
      </c>
      <c r="D137" s="15">
        <f>C137+B137</f>
        <v/>
      </c>
      <c r="E137" s="16" t="inlineStr">
        <is>
          <t>1.3.12.3</t>
        </is>
      </c>
      <c r="F137" s="16" t="inlineStr">
        <is>
          <t>Atividade</t>
        </is>
      </c>
      <c r="G137" s="17" t="inlineStr">
        <is>
          <t>Obras Concluídas</t>
        </is>
      </c>
      <c r="H137" s="17" t="inlineStr">
        <is>
          <t>Fiscalização de obras (Resulta)</t>
        </is>
      </c>
      <c r="I137" s="16" t="n">
        <v>89307</v>
      </c>
      <c r="J137" s="17" t="inlineStr">
        <is>
          <t>PN 2026 – blocos RL/RT</t>
        </is>
      </c>
    </row>
    <row r="138" outlineLevel="1">
      <c r="A138" s="19" t="inlineStr">
        <is>
          <t>Cadastro EO/ Integração parcial</t>
        </is>
      </c>
      <c r="B138" s="14">
        <f>Parâmetros!$B$8</f>
        <v/>
      </c>
      <c r="C138" s="15">
        <f>WORKDAY(D137,1,Feriados)</f>
        <v/>
      </c>
      <c r="D138" s="15">
        <f>C138+B138</f>
        <v/>
      </c>
      <c r="E138" s="16" t="inlineStr">
        <is>
          <t>1.3.12.4</t>
        </is>
      </c>
      <c r="F138" s="16" t="inlineStr">
        <is>
          <t>Atividade</t>
        </is>
      </c>
      <c r="G138" s="17" t="inlineStr">
        <is>
          <t>Fiscalização</t>
        </is>
      </c>
      <c r="H138" s="17" t="inlineStr">
        <is>
          <t>DCMD (Cadastro EO/TS)</t>
        </is>
      </c>
      <c r="I138" s="16" t="n">
        <v>89307</v>
      </c>
      <c r="J138" s="17" t="inlineStr">
        <is>
          <t>PN 2026 – blocos RL/RT</t>
        </is>
      </c>
    </row>
    <row r="139" outlineLevel="1">
      <c r="A139" s="19" t="inlineStr">
        <is>
          <t>Entrega do TCI pela empreiteira / Integração final</t>
        </is>
      </c>
      <c r="B139" s="14">
        <f>Parâmetros!$B$9</f>
        <v/>
      </c>
      <c r="C139" s="15">
        <f>WORKDAY(D138,1,Feriados)</f>
        <v/>
      </c>
      <c r="D139" s="15">
        <f>C139+B139</f>
        <v/>
      </c>
      <c r="E139" s="16" t="inlineStr">
        <is>
          <t>1.3.12.5</t>
        </is>
      </c>
      <c r="F139" s="16" t="inlineStr">
        <is>
          <t>Atividade</t>
        </is>
      </c>
      <c r="G139" s="17" t="inlineStr">
        <is>
          <t>Cadastro EO</t>
        </is>
      </c>
      <c r="H139" s="17" t="inlineStr">
        <is>
          <t>EPS / DCMD</t>
        </is>
      </c>
      <c r="I139" s="16" t="n">
        <v>89307</v>
      </c>
      <c r="J139" s="17" t="inlineStr">
        <is>
          <t>PN 2026 – blocos RL/RT</t>
        </is>
      </c>
    </row>
    <row r="140" outlineLevel="1">
      <c r="A140" s="19" t="inlineStr">
        <is>
          <t>Abertura de chamado/ Atendimento GAT</t>
        </is>
      </c>
      <c r="B140" s="14">
        <f>Parâmetros!$B$10</f>
        <v/>
      </c>
      <c r="C140" s="15">
        <f>C139</f>
        <v/>
      </c>
      <c r="D140" s="15">
        <f>C140+B140</f>
        <v/>
      </c>
      <c r="E140" s="16" t="inlineStr">
        <is>
          <t>1.3.12.6</t>
        </is>
      </c>
      <c r="F140" s="16" t="inlineStr">
        <is>
          <t>Atividade</t>
        </is>
      </c>
      <c r="G140" s="17" t="inlineStr">
        <is>
          <t>TCI (início)</t>
        </is>
      </c>
      <c r="H140" s="17" t="inlineStr">
        <is>
          <t>DCMD / GAT</t>
        </is>
      </c>
      <c r="I140" s="16" t="n">
        <v>89307</v>
      </c>
      <c r="J140" s="17" t="inlineStr">
        <is>
          <t>PN 2026 – blocos RL/RT</t>
        </is>
      </c>
    </row>
    <row r="141" outlineLevel="1">
      <c r="A141" s="19" t="inlineStr">
        <is>
          <t>Comissionar Equipamentos</t>
        </is>
      </c>
      <c r="B141" s="14">
        <f>Parâmetros!$B$11</f>
        <v/>
      </c>
      <c r="C141" s="15">
        <f>C139</f>
        <v/>
      </c>
      <c r="D141" s="15">
        <f>C141+B141</f>
        <v/>
      </c>
      <c r="E141" s="16" t="inlineStr">
        <is>
          <t>1.3.12.7</t>
        </is>
      </c>
      <c r="F141" s="16" t="inlineStr">
        <is>
          <t>Atividade</t>
        </is>
      </c>
      <c r="G141" s="17" t="inlineStr">
        <is>
          <t>TCI (início)</t>
        </is>
      </c>
      <c r="H141" s="17" t="inlineStr">
        <is>
          <t>DMSL / DEOP (ajuste de proteção)</t>
        </is>
      </c>
      <c r="I141" s="16" t="n">
        <v>89307</v>
      </c>
      <c r="J141" s="17" t="inlineStr">
        <is>
          <t>PN 2026 – blocos RL/RT</t>
        </is>
      </c>
    </row>
    <row r="142" outlineLevel="1">
      <c r="A142" s="19" t="inlineStr">
        <is>
          <t>Equipamentos em Operação</t>
        </is>
      </c>
      <c r="B142" s="14" t="n">
        <v>0</v>
      </c>
      <c r="C142" s="15">
        <f>D141</f>
        <v/>
      </c>
      <c r="D142" s="15">
        <f>C142+B142</f>
        <v/>
      </c>
      <c r="E142" s="16" t="inlineStr">
        <is>
          <t>1.3.12.8</t>
        </is>
      </c>
      <c r="F142" s="16" t="inlineStr">
        <is>
          <t>Marco</t>
        </is>
      </c>
      <c r="G142" s="17" t="inlineStr">
        <is>
          <t>Comissionar Equip.</t>
        </is>
      </c>
      <c r="H142" s="17" t="inlineStr">
        <is>
          <t>DMSL / DEOP</t>
        </is>
      </c>
      <c r="I142" s="16" t="n">
        <v>89307</v>
      </c>
      <c r="J142" s="17" t="inlineStr">
        <is>
          <t>Marco = término do comissionamento</t>
        </is>
      </c>
    </row>
    <row r="143" outlineLevel="1">
      <c r="A143" s="19" t="inlineStr">
        <is>
          <t>Encerramento Técnico</t>
        </is>
      </c>
      <c r="B143" s="14">
        <f>Parâmetros!$B$12</f>
        <v/>
      </c>
      <c r="C143" s="15">
        <f>WORKDAY(D142,1,Feriados)</f>
        <v/>
      </c>
      <c r="D143" s="15">
        <f>WORKDAY(C143,B143,Feriados)</f>
        <v/>
      </c>
      <c r="E143" s="16" t="inlineStr">
        <is>
          <t>1.3.12.9</t>
        </is>
      </c>
      <c r="F143" s="16" t="inlineStr">
        <is>
          <t>Atividade</t>
        </is>
      </c>
      <c r="G143" s="17" t="inlineStr">
        <is>
          <t>Equip. em Operação</t>
        </is>
      </c>
      <c r="H143" s="17" t="inlineStr">
        <is>
          <t>DCMD (Encerramento Técnico)</t>
        </is>
      </c>
      <c r="I143" s="16" t="n">
        <v>89307</v>
      </c>
      <c r="J143" s="17" t="inlineStr">
        <is>
          <t>PN 2026 – blocos RL/RT (dias úteis)</t>
        </is>
      </c>
    </row>
    <row r="144" outlineLevel="1">
      <c r="A144" s="19" t="inlineStr">
        <is>
          <t>Encerramento Contábil</t>
        </is>
      </c>
      <c r="B144" s="14">
        <f>Parâmetros!$B$13</f>
        <v/>
      </c>
      <c r="C144" s="15">
        <f>WORKDAY(D143,1,Feriados)</f>
        <v/>
      </c>
      <c r="D144" s="15">
        <f>WORKDAY(C144,B144,Feriados)</f>
        <v/>
      </c>
      <c r="E144" s="16" t="inlineStr">
        <is>
          <t>1.3.12.10</t>
        </is>
      </c>
      <c r="F144" s="16" t="inlineStr">
        <is>
          <t>Atividade</t>
        </is>
      </c>
      <c r="G144" s="17" t="inlineStr">
        <is>
          <t>Encerramento Técnico</t>
        </is>
      </c>
      <c r="H144" s="17" t="inlineStr">
        <is>
          <t>DCMD / Contabilidade</t>
        </is>
      </c>
      <c r="I144" s="16" t="n">
        <v>89307</v>
      </c>
      <c r="J144" s="17" t="inlineStr">
        <is>
          <t>PN 2026 – blocos RL/RT (dias úteis)</t>
        </is>
      </c>
    </row>
    <row r="146">
      <c r="A146" s="21" t="inlineStr">
        <is>
          <t>Datas em azul = entradas (início da execução, calculado de trás para frente a partir da meta de energização). Demais datas = fórmulas (WORKDAY com feriados da aba Parâmetros).</t>
        </is>
      </c>
    </row>
    <row r="147">
      <c r="A147" s="21" t="inlineStr">
        <is>
          <t>Escopo da EAP: 100% do trabalho do PN 2027 de RL/RT; só as atividades de instalação têm prazo (histórico PN 2026 de RL/RT). Fornecimento/contratação aparecem como marcos de "data necessária".</t>
        </is>
      </c>
    </row>
  </sheetData>
  <autoFilter ref="A1:J144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8" customWidth="1" min="14" max="14"/>
  </cols>
  <sheetData>
    <row r="1">
      <c r="A1" s="22" t="inlineStr">
        <is>
          <t>Cronograma macro – PN 2027: instalação de RL e RT</t>
        </is>
      </c>
    </row>
    <row r="3" ht="44" customHeight="1">
      <c r="A3" s="1" t="inlineStr">
        <is>
          <t>SIGCO</t>
        </is>
      </c>
      <c r="B3" s="1" t="inlineStr">
        <is>
          <t>Projeto</t>
        </is>
      </c>
      <c r="C3" s="1" t="inlineStr">
        <is>
          <t>Pacote</t>
        </is>
      </c>
      <c r="D3" s="1" t="inlineStr">
        <is>
          <t>Equip.</t>
        </is>
      </c>
      <c r="E3" s="1" t="inlineStr">
        <is>
          <t>Início da execução</t>
        </is>
      </c>
      <c r="F3" s="1" t="inlineStr">
        <is>
          <t>Obras concluídas</t>
        </is>
      </c>
      <c r="G3" s="1" t="inlineStr">
        <is>
          <t>Início comissionamento</t>
        </is>
      </c>
      <c r="H3" s="1" t="inlineStr">
        <is>
          <t>Equip. em operação</t>
        </is>
      </c>
      <c r="I3" s="1" t="inlineStr">
        <is>
          <t>Meta de energização</t>
        </is>
      </c>
      <c r="J3" s="1" t="inlineStr">
        <is>
          <t>Folga vs. meta (dias)</t>
        </is>
      </c>
      <c r="K3" s="1" t="inlineStr">
        <is>
          <t>Fim Enc. Técnico</t>
        </is>
      </c>
      <c r="L3" s="1" t="inlineStr">
        <is>
          <t>Fim Enc. Contábil</t>
        </is>
      </c>
      <c r="M3" s="1" t="inlineStr">
        <is>
          <t>Duração total (dias)</t>
        </is>
      </c>
      <c r="N3" s="1" t="inlineStr">
        <is>
          <t>Folga p/ limite contábil 17/11/2027 (dias)</t>
        </is>
      </c>
    </row>
    <row r="4" ht="28" customHeight="1">
      <c r="A4" s="23" t="n">
        <v>90811</v>
      </c>
      <c r="B4" s="17">
        <f>Carteira!C4</f>
        <v/>
      </c>
      <c r="C4" s="23">
        <f>Carteira!I4</f>
        <v/>
      </c>
      <c r="D4" s="23">
        <f>Carteira!H4</f>
        <v/>
      </c>
      <c r="E4" s="24">
        <f>WBS!C14</f>
        <v/>
      </c>
      <c r="F4" s="24">
        <f>WBS!D15</f>
        <v/>
      </c>
      <c r="G4" s="24">
        <f>WBS!C20</f>
        <v/>
      </c>
      <c r="H4" s="24">
        <f>WBS!D21</f>
        <v/>
      </c>
      <c r="I4" s="24">
        <f>Carteira!J4</f>
        <v/>
      </c>
      <c r="J4" s="23">
        <f>I4-H4</f>
        <v/>
      </c>
      <c r="K4" s="24">
        <f>WBS!D22</f>
        <v/>
      </c>
      <c r="L4" s="24">
        <f>WBS!D23</f>
        <v/>
      </c>
      <c r="M4" s="23">
        <f>L4-E4</f>
        <v/>
      </c>
      <c r="N4" s="23">
        <f>Parâmetros!$B$16-L4</f>
        <v/>
      </c>
    </row>
    <row r="5" ht="28" customHeight="1">
      <c r="A5" s="23" t="n">
        <v>91979</v>
      </c>
      <c r="B5" s="17">
        <f>Carteira!C5</f>
        <v/>
      </c>
      <c r="C5" s="23">
        <f>Carteira!I5</f>
        <v/>
      </c>
      <c r="D5" s="23">
        <f>Carteira!H5</f>
        <v/>
      </c>
      <c r="E5" s="24">
        <f>WBS!C25</f>
        <v/>
      </c>
      <c r="F5" s="24">
        <f>WBS!D26</f>
        <v/>
      </c>
      <c r="G5" s="24">
        <f>WBS!C31</f>
        <v/>
      </c>
      <c r="H5" s="24">
        <f>WBS!D32</f>
        <v/>
      </c>
      <c r="I5" s="24">
        <f>Carteira!J5</f>
        <v/>
      </c>
      <c r="J5" s="23">
        <f>I5-H5</f>
        <v/>
      </c>
      <c r="K5" s="24">
        <f>WBS!D33</f>
        <v/>
      </c>
      <c r="L5" s="24">
        <f>WBS!D34</f>
        <v/>
      </c>
      <c r="M5" s="23">
        <f>L5-E5</f>
        <v/>
      </c>
      <c r="N5" s="23">
        <f>Parâmetros!$B$16-L5</f>
        <v/>
      </c>
    </row>
    <row r="6" ht="28" customHeight="1">
      <c r="A6" s="23" t="n">
        <v>92118</v>
      </c>
      <c r="B6" s="17">
        <f>Carteira!C6</f>
        <v/>
      </c>
      <c r="C6" s="23">
        <f>Carteira!I6</f>
        <v/>
      </c>
      <c r="D6" s="23">
        <f>Carteira!H6</f>
        <v/>
      </c>
      <c r="E6" s="24">
        <f>WBS!C36</f>
        <v/>
      </c>
      <c r="F6" s="24">
        <f>WBS!D37</f>
        <v/>
      </c>
      <c r="G6" s="24">
        <f>WBS!C42</f>
        <v/>
      </c>
      <c r="H6" s="24">
        <f>WBS!D43</f>
        <v/>
      </c>
      <c r="I6" s="24">
        <f>Carteira!J6</f>
        <v/>
      </c>
      <c r="J6" s="23">
        <f>I6-H6</f>
        <v/>
      </c>
      <c r="K6" s="24">
        <f>WBS!D44</f>
        <v/>
      </c>
      <c r="L6" s="24">
        <f>WBS!D45</f>
        <v/>
      </c>
      <c r="M6" s="23">
        <f>L6-E6</f>
        <v/>
      </c>
      <c r="N6" s="23">
        <f>Parâmetros!$B$16-L6</f>
        <v/>
      </c>
    </row>
    <row r="7" ht="28" customHeight="1">
      <c r="A7" s="23" t="n">
        <v>89267</v>
      </c>
      <c r="B7" s="17">
        <f>Carteira!C7</f>
        <v/>
      </c>
      <c r="C7" s="23">
        <f>Carteira!I7</f>
        <v/>
      </c>
      <c r="D7" s="23">
        <f>Carteira!H7</f>
        <v/>
      </c>
      <c r="E7" s="24">
        <f>WBS!C47</f>
        <v/>
      </c>
      <c r="F7" s="24">
        <f>WBS!D48</f>
        <v/>
      </c>
      <c r="G7" s="24">
        <f>WBS!C53</f>
        <v/>
      </c>
      <c r="H7" s="24">
        <f>WBS!D54</f>
        <v/>
      </c>
      <c r="I7" s="24">
        <f>Carteira!J7</f>
        <v/>
      </c>
      <c r="J7" s="23">
        <f>I7-H7</f>
        <v/>
      </c>
      <c r="K7" s="24">
        <f>WBS!D55</f>
        <v/>
      </c>
      <c r="L7" s="24">
        <f>WBS!D56</f>
        <v/>
      </c>
      <c r="M7" s="23">
        <f>L7-E7</f>
        <v/>
      </c>
      <c r="N7" s="23">
        <f>Parâmetros!$B$16-L7</f>
        <v/>
      </c>
    </row>
    <row r="8" ht="28" customHeight="1">
      <c r="A8" s="23" t="n">
        <v>92094</v>
      </c>
      <c r="B8" s="17">
        <f>Carteira!C8</f>
        <v/>
      </c>
      <c r="C8" s="23">
        <f>Carteira!I8</f>
        <v/>
      </c>
      <c r="D8" s="23">
        <f>Carteira!H8</f>
        <v/>
      </c>
      <c r="E8" s="24">
        <f>WBS!C58</f>
        <v/>
      </c>
      <c r="F8" s="24">
        <f>WBS!D59</f>
        <v/>
      </c>
      <c r="G8" s="24">
        <f>WBS!C64</f>
        <v/>
      </c>
      <c r="H8" s="24">
        <f>WBS!D65</f>
        <v/>
      </c>
      <c r="I8" s="24">
        <f>Carteira!J8</f>
        <v/>
      </c>
      <c r="J8" s="23">
        <f>I8-H8</f>
        <v/>
      </c>
      <c r="K8" s="24">
        <f>WBS!D66</f>
        <v/>
      </c>
      <c r="L8" s="24">
        <f>WBS!D67</f>
        <v/>
      </c>
      <c r="M8" s="23">
        <f>L8-E8</f>
        <v/>
      </c>
      <c r="N8" s="23">
        <f>Parâmetros!$B$16-L8</f>
        <v/>
      </c>
    </row>
    <row r="9" ht="28" customHeight="1">
      <c r="A9" s="23" t="n">
        <v>92095</v>
      </c>
      <c r="B9" s="17">
        <f>Carteira!C9</f>
        <v/>
      </c>
      <c r="C9" s="23">
        <f>Carteira!I9</f>
        <v/>
      </c>
      <c r="D9" s="23">
        <f>Carteira!H9</f>
        <v/>
      </c>
      <c r="E9" s="24">
        <f>WBS!C69</f>
        <v/>
      </c>
      <c r="F9" s="24">
        <f>WBS!D70</f>
        <v/>
      </c>
      <c r="G9" s="24">
        <f>WBS!C75</f>
        <v/>
      </c>
      <c r="H9" s="24">
        <f>WBS!D76</f>
        <v/>
      </c>
      <c r="I9" s="24">
        <f>Carteira!J9</f>
        <v/>
      </c>
      <c r="J9" s="23">
        <f>I9-H9</f>
        <v/>
      </c>
      <c r="K9" s="24">
        <f>WBS!D77</f>
        <v/>
      </c>
      <c r="L9" s="24">
        <f>WBS!D78</f>
        <v/>
      </c>
      <c r="M9" s="23">
        <f>L9-E9</f>
        <v/>
      </c>
      <c r="N9" s="23">
        <f>Parâmetros!$B$16-L9</f>
        <v/>
      </c>
    </row>
    <row r="10" ht="28" customHeight="1">
      <c r="A10" s="23" t="n">
        <v>92101</v>
      </c>
      <c r="B10" s="17">
        <f>Carteira!C10</f>
        <v/>
      </c>
      <c r="C10" s="23">
        <f>Carteira!I10</f>
        <v/>
      </c>
      <c r="D10" s="23">
        <f>Carteira!H10</f>
        <v/>
      </c>
      <c r="E10" s="24">
        <f>WBS!C80</f>
        <v/>
      </c>
      <c r="F10" s="24">
        <f>WBS!D81</f>
        <v/>
      </c>
      <c r="G10" s="24">
        <f>WBS!C86</f>
        <v/>
      </c>
      <c r="H10" s="24">
        <f>WBS!D87</f>
        <v/>
      </c>
      <c r="I10" s="24">
        <f>Carteira!J10</f>
        <v/>
      </c>
      <c r="J10" s="23">
        <f>I10-H10</f>
        <v/>
      </c>
      <c r="K10" s="24">
        <f>WBS!D88</f>
        <v/>
      </c>
      <c r="L10" s="24">
        <f>WBS!D89</f>
        <v/>
      </c>
      <c r="M10" s="23">
        <f>L10-E10</f>
        <v/>
      </c>
      <c r="N10" s="23">
        <f>Parâmetros!$B$16-L10</f>
        <v/>
      </c>
    </row>
    <row r="11" ht="28" customHeight="1">
      <c r="A11" s="23" t="n">
        <v>92102</v>
      </c>
      <c r="B11" s="17">
        <f>Carteira!C11</f>
        <v/>
      </c>
      <c r="C11" s="23">
        <f>Carteira!I11</f>
        <v/>
      </c>
      <c r="D11" s="23">
        <f>Carteira!H11</f>
        <v/>
      </c>
      <c r="E11" s="24">
        <f>WBS!C91</f>
        <v/>
      </c>
      <c r="F11" s="24">
        <f>WBS!D92</f>
        <v/>
      </c>
      <c r="G11" s="24">
        <f>WBS!C97</f>
        <v/>
      </c>
      <c r="H11" s="24">
        <f>WBS!D98</f>
        <v/>
      </c>
      <c r="I11" s="24">
        <f>Carteira!J11</f>
        <v/>
      </c>
      <c r="J11" s="23">
        <f>I11-H11</f>
        <v/>
      </c>
      <c r="K11" s="24">
        <f>WBS!D99</f>
        <v/>
      </c>
      <c r="L11" s="24">
        <f>WBS!D100</f>
        <v/>
      </c>
      <c r="M11" s="23">
        <f>L11-E11</f>
        <v/>
      </c>
      <c r="N11" s="23">
        <f>Parâmetros!$B$16-L11</f>
        <v/>
      </c>
    </row>
    <row r="12" ht="28" customHeight="1">
      <c r="A12" s="23" t="n">
        <v>70838</v>
      </c>
      <c r="B12" s="17">
        <f>Carteira!C12</f>
        <v/>
      </c>
      <c r="C12" s="23">
        <f>Carteira!I12</f>
        <v/>
      </c>
      <c r="D12" s="23">
        <f>Carteira!H12</f>
        <v/>
      </c>
      <c r="E12" s="24">
        <f>WBS!C102</f>
        <v/>
      </c>
      <c r="F12" s="24">
        <f>WBS!D103</f>
        <v/>
      </c>
      <c r="G12" s="24">
        <f>WBS!C108</f>
        <v/>
      </c>
      <c r="H12" s="24">
        <f>WBS!D109</f>
        <v/>
      </c>
      <c r="I12" s="24">
        <f>Carteira!J12</f>
        <v/>
      </c>
      <c r="J12" s="23">
        <f>I12-H12</f>
        <v/>
      </c>
      <c r="K12" s="24">
        <f>WBS!D110</f>
        <v/>
      </c>
      <c r="L12" s="24">
        <f>WBS!D111</f>
        <v/>
      </c>
      <c r="M12" s="23">
        <f>L12-E12</f>
        <v/>
      </c>
      <c r="N12" s="23">
        <f>Parâmetros!$B$16-L12</f>
        <v/>
      </c>
    </row>
    <row r="13" ht="28" customHeight="1">
      <c r="A13" s="23" t="n">
        <v>70978</v>
      </c>
      <c r="B13" s="17">
        <f>Carteira!C13</f>
        <v/>
      </c>
      <c r="C13" s="23">
        <f>Carteira!I13</f>
        <v/>
      </c>
      <c r="D13" s="23">
        <f>Carteira!H13</f>
        <v/>
      </c>
      <c r="E13" s="24">
        <f>WBS!C113</f>
        <v/>
      </c>
      <c r="F13" s="24">
        <f>WBS!D114</f>
        <v/>
      </c>
      <c r="G13" s="24">
        <f>WBS!C119</f>
        <v/>
      </c>
      <c r="H13" s="24">
        <f>WBS!D120</f>
        <v/>
      </c>
      <c r="I13" s="24">
        <f>Carteira!J13</f>
        <v/>
      </c>
      <c r="J13" s="23">
        <f>I13-H13</f>
        <v/>
      </c>
      <c r="K13" s="24">
        <f>WBS!D121</f>
        <v/>
      </c>
      <c r="L13" s="24">
        <f>WBS!D122</f>
        <v/>
      </c>
      <c r="M13" s="23">
        <f>L13-E13</f>
        <v/>
      </c>
      <c r="N13" s="23">
        <f>Parâmetros!$B$16-L13</f>
        <v/>
      </c>
    </row>
    <row r="14" ht="28" customHeight="1">
      <c r="A14" s="23" t="n">
        <v>89249</v>
      </c>
      <c r="B14" s="17">
        <f>Carteira!C14</f>
        <v/>
      </c>
      <c r="C14" s="23">
        <f>Carteira!I14</f>
        <v/>
      </c>
      <c r="D14" s="23">
        <f>Carteira!H14</f>
        <v/>
      </c>
      <c r="E14" s="24">
        <f>WBS!C124</f>
        <v/>
      </c>
      <c r="F14" s="24">
        <f>WBS!D125</f>
        <v/>
      </c>
      <c r="G14" s="24">
        <f>WBS!C130</f>
        <v/>
      </c>
      <c r="H14" s="24">
        <f>WBS!D131</f>
        <v/>
      </c>
      <c r="I14" s="24">
        <f>Carteira!J14</f>
        <v/>
      </c>
      <c r="J14" s="23">
        <f>I14-H14</f>
        <v/>
      </c>
      <c r="K14" s="24">
        <f>WBS!D132</f>
        <v/>
      </c>
      <c r="L14" s="24">
        <f>WBS!D133</f>
        <v/>
      </c>
      <c r="M14" s="23">
        <f>L14-E14</f>
        <v/>
      </c>
      <c r="N14" s="23">
        <f>Parâmetros!$B$16-L14</f>
        <v/>
      </c>
    </row>
    <row r="15" ht="28" customHeight="1">
      <c r="A15" s="23" t="n">
        <v>89307</v>
      </c>
      <c r="B15" s="17">
        <f>Carteira!C15</f>
        <v/>
      </c>
      <c r="C15" s="23">
        <f>Carteira!I15</f>
        <v/>
      </c>
      <c r="D15" s="23">
        <f>Carteira!H15</f>
        <v/>
      </c>
      <c r="E15" s="24">
        <f>WBS!C135</f>
        <v/>
      </c>
      <c r="F15" s="24">
        <f>WBS!D136</f>
        <v/>
      </c>
      <c r="G15" s="24">
        <f>WBS!C141</f>
        <v/>
      </c>
      <c r="H15" s="24">
        <f>WBS!D142</f>
        <v/>
      </c>
      <c r="I15" s="24">
        <f>Carteira!J15</f>
        <v/>
      </c>
      <c r="J15" s="23">
        <f>I15-H15</f>
        <v/>
      </c>
      <c r="K15" s="24">
        <f>WBS!D143</f>
        <v/>
      </c>
      <c r="L15" s="24">
        <f>WBS!D144</f>
        <v/>
      </c>
      <c r="M15" s="23">
        <f>L15-E15</f>
        <v/>
      </c>
      <c r="N15" s="23">
        <f>Parâmetros!$B$16-L15</f>
        <v/>
      </c>
    </row>
    <row r="17">
      <c r="A17" s="21" t="inlineStr">
        <is>
          <t>Equipamentos em operação ≤ meta de energização do mês (TM 06/10/2026). Folga = 0 indica cronograma sem reserva (agosto/2027).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N149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0" customWidth="1" min="2" max="2"/>
    <col width="11" customWidth="1" min="3" max="3"/>
    <col width="11" customWidth="1" min="4" max="4"/>
    <col width="5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</cols>
  <sheetData>
    <row r="1">
      <c r="A1" s="22" t="inlineStr">
        <is>
          <t>Gantt semanal – PN 2027 (barras recalculam com as datas da aba WBS)</t>
        </is>
      </c>
    </row>
    <row r="2">
      <c r="E2" s="25" t="inlineStr">
        <is>
          <t>Legenda:</t>
        </is>
      </c>
      <c r="F2" s="26" t="inlineStr">
        <is>
          <t>Execução</t>
        </is>
      </c>
      <c r="O2" s="27" t="inlineStr">
        <is>
          <t>Fiscalização / Cadastro / TCI</t>
        </is>
      </c>
      <c r="X2" s="28" t="inlineStr">
        <is>
          <t>GAT / Comissionamento</t>
        </is>
      </c>
      <c r="AG2" s="29" t="inlineStr">
        <is>
          <t>Encerramento</t>
        </is>
      </c>
      <c r="AP2" s="30" t="inlineStr">
        <is>
          <t>Marco</t>
        </is>
      </c>
    </row>
    <row r="3">
      <c r="A3" s="31" t="n"/>
      <c r="B3" s="31" t="n"/>
      <c r="C3" s="31" t="n"/>
      <c r="D3" s="31" t="n"/>
      <c r="E3" s="31" t="n"/>
      <c r="F3" s="32" t="inlineStr">
        <is>
          <t>09/26</t>
        </is>
      </c>
      <c r="G3" s="32" t="inlineStr">
        <is>
          <t>10/26</t>
        </is>
      </c>
      <c r="H3" s="31" t="n"/>
      <c r="I3" s="31" t="n"/>
      <c r="J3" s="31" t="n"/>
      <c r="K3" s="32" t="inlineStr">
        <is>
          <t>11/26</t>
        </is>
      </c>
      <c r="L3" s="31" t="n"/>
      <c r="M3" s="31" t="n"/>
      <c r="N3" s="31" t="n"/>
      <c r="O3" s="31" t="n"/>
      <c r="P3" s="32" t="inlineStr">
        <is>
          <t>12/26</t>
        </is>
      </c>
      <c r="Q3" s="31" t="n"/>
      <c r="R3" s="31" t="n"/>
      <c r="S3" s="31" t="n"/>
      <c r="T3" s="32" t="inlineStr">
        <is>
          <t>01/27</t>
        </is>
      </c>
      <c r="U3" s="31" t="n"/>
      <c r="V3" s="31" t="n"/>
      <c r="W3" s="31" t="n"/>
      <c r="X3" s="32" t="inlineStr">
        <is>
          <t>02/27</t>
        </is>
      </c>
      <c r="Y3" s="31" t="n"/>
      <c r="Z3" s="31" t="n"/>
      <c r="AA3" s="31" t="n"/>
      <c r="AB3" s="32" t="inlineStr">
        <is>
          <t>03/27</t>
        </is>
      </c>
      <c r="AC3" s="31" t="n"/>
      <c r="AD3" s="31" t="n"/>
      <c r="AE3" s="31" t="n"/>
      <c r="AF3" s="31" t="n"/>
      <c r="AG3" s="32" t="inlineStr">
        <is>
          <t>04/27</t>
        </is>
      </c>
      <c r="AH3" s="31" t="n"/>
      <c r="AI3" s="31" t="n"/>
      <c r="AJ3" s="31" t="n"/>
      <c r="AK3" s="32" t="inlineStr">
        <is>
          <t>05/27</t>
        </is>
      </c>
      <c r="AL3" s="31" t="n"/>
      <c r="AM3" s="31" t="n"/>
      <c r="AN3" s="31" t="n"/>
      <c r="AO3" s="31" t="n"/>
      <c r="AP3" s="32" t="inlineStr">
        <is>
          <t>06/27</t>
        </is>
      </c>
      <c r="AQ3" s="31" t="n"/>
      <c r="AR3" s="31" t="n"/>
      <c r="AS3" s="31" t="n"/>
      <c r="AT3" s="32" t="inlineStr">
        <is>
          <t>07/27</t>
        </is>
      </c>
      <c r="AU3" s="31" t="n"/>
      <c r="AV3" s="31" t="n"/>
      <c r="AW3" s="31" t="n"/>
      <c r="AX3" s="32" t="inlineStr">
        <is>
          <t>08/27</t>
        </is>
      </c>
      <c r="AY3" s="31" t="n"/>
      <c r="AZ3" s="31" t="n"/>
      <c r="BA3" s="31" t="n"/>
      <c r="BB3" s="31" t="n"/>
      <c r="BC3" s="32" t="inlineStr">
        <is>
          <t>09/27</t>
        </is>
      </c>
      <c r="BD3" s="31" t="n"/>
      <c r="BE3" s="31" t="n"/>
      <c r="BF3" s="31" t="n"/>
      <c r="BG3" s="32" t="inlineStr">
        <is>
          <t>10/27</t>
        </is>
      </c>
      <c r="BH3" s="31" t="n"/>
      <c r="BI3" s="31" t="n"/>
      <c r="BJ3" s="31" t="n"/>
      <c r="BK3" s="32" t="inlineStr">
        <is>
          <t>11/27</t>
        </is>
      </c>
      <c r="BL3" s="31" t="n"/>
      <c r="BM3" s="31" t="n"/>
      <c r="BN3" s="31" t="n"/>
    </row>
    <row r="4" ht="38" customHeight="1">
      <c r="A4" s="33" t="inlineStr">
        <is>
          <t>Código EAP</t>
        </is>
      </c>
      <c r="B4" s="33" t="inlineStr">
        <is>
          <t>Tarefa</t>
        </is>
      </c>
      <c r="C4" s="33" t="inlineStr">
        <is>
          <t>Início</t>
        </is>
      </c>
      <c r="D4" s="33" t="inlineStr">
        <is>
          <t>Término</t>
        </is>
      </c>
      <c r="E4" s="33" t="inlineStr">
        <is>
          <t>tipo</t>
        </is>
      </c>
      <c r="F4" s="34" t="n">
        <v>46293</v>
      </c>
      <c r="G4" s="34" t="n">
        <v>46300</v>
      </c>
      <c r="H4" s="34" t="n">
        <v>46307</v>
      </c>
      <c r="I4" s="34" t="n">
        <v>46314</v>
      </c>
      <c r="J4" s="34" t="n">
        <v>46321</v>
      </c>
      <c r="K4" s="34" t="n">
        <v>46328</v>
      </c>
      <c r="L4" s="34" t="n">
        <v>46335</v>
      </c>
      <c r="M4" s="34" t="n">
        <v>46342</v>
      </c>
      <c r="N4" s="34" t="n">
        <v>46349</v>
      </c>
      <c r="O4" s="34" t="n">
        <v>46356</v>
      </c>
      <c r="P4" s="34" t="n">
        <v>46363</v>
      </c>
      <c r="Q4" s="34" t="n">
        <v>46370</v>
      </c>
      <c r="R4" s="34" t="n">
        <v>46377</v>
      </c>
      <c r="S4" s="34" t="n">
        <v>46384</v>
      </c>
      <c r="T4" s="34" t="n">
        <v>46391</v>
      </c>
      <c r="U4" s="34" t="n">
        <v>46398</v>
      </c>
      <c r="V4" s="34" t="n">
        <v>46405</v>
      </c>
      <c r="W4" s="34" t="n">
        <v>46412</v>
      </c>
      <c r="X4" s="34" t="n">
        <v>46419</v>
      </c>
      <c r="Y4" s="34" t="n">
        <v>46426</v>
      </c>
      <c r="Z4" s="34" t="n">
        <v>46433</v>
      </c>
      <c r="AA4" s="34" t="n">
        <v>46440</v>
      </c>
      <c r="AB4" s="34" t="n">
        <v>46447</v>
      </c>
      <c r="AC4" s="34" t="n">
        <v>46454</v>
      </c>
      <c r="AD4" s="34" t="n">
        <v>46461</v>
      </c>
      <c r="AE4" s="34" t="n">
        <v>46468</v>
      </c>
      <c r="AF4" s="34" t="n">
        <v>46475</v>
      </c>
      <c r="AG4" s="34" t="n">
        <v>46482</v>
      </c>
      <c r="AH4" s="34" t="n">
        <v>46489</v>
      </c>
      <c r="AI4" s="34" t="n">
        <v>46496</v>
      </c>
      <c r="AJ4" s="34" t="n">
        <v>46503</v>
      </c>
      <c r="AK4" s="34" t="n">
        <v>46510</v>
      </c>
      <c r="AL4" s="34" t="n">
        <v>46517</v>
      </c>
      <c r="AM4" s="34" t="n">
        <v>46524</v>
      </c>
      <c r="AN4" s="34" t="n">
        <v>46531</v>
      </c>
      <c r="AO4" s="34" t="n">
        <v>46538</v>
      </c>
      <c r="AP4" s="34" t="n">
        <v>46545</v>
      </c>
      <c r="AQ4" s="34" t="n">
        <v>46552</v>
      </c>
      <c r="AR4" s="34" t="n">
        <v>46559</v>
      </c>
      <c r="AS4" s="34" t="n">
        <v>46566</v>
      </c>
      <c r="AT4" s="34" t="n">
        <v>46573</v>
      </c>
      <c r="AU4" s="34" t="n">
        <v>46580</v>
      </c>
      <c r="AV4" s="34" t="n">
        <v>46587</v>
      </c>
      <c r="AW4" s="34" t="n">
        <v>46594</v>
      </c>
      <c r="AX4" s="34" t="n">
        <v>46601</v>
      </c>
      <c r="AY4" s="34" t="n">
        <v>46608</v>
      </c>
      <c r="AZ4" s="34" t="n">
        <v>46615</v>
      </c>
      <c r="BA4" s="34" t="n">
        <v>46622</v>
      </c>
      <c r="BB4" s="34" t="n">
        <v>46629</v>
      </c>
      <c r="BC4" s="34" t="n">
        <v>46636</v>
      </c>
      <c r="BD4" s="34" t="n">
        <v>46643</v>
      </c>
      <c r="BE4" s="34" t="n">
        <v>46650</v>
      </c>
      <c r="BF4" s="34" t="n">
        <v>46657</v>
      </c>
      <c r="BG4" s="34" t="n">
        <v>46664</v>
      </c>
      <c r="BH4" s="34" t="n">
        <v>46671</v>
      </c>
      <c r="BI4" s="34" t="n">
        <v>46678</v>
      </c>
      <c r="BJ4" s="34" t="n">
        <v>46685</v>
      </c>
      <c r="BK4" s="34" t="n">
        <v>46692</v>
      </c>
      <c r="BL4" s="34" t="n">
        <v>46699</v>
      </c>
      <c r="BM4" s="34" t="n">
        <v>46706</v>
      </c>
      <c r="BN4" s="34" t="n">
        <v>46713</v>
      </c>
    </row>
    <row r="5">
      <c r="A5" s="35">
        <f>WBS!E2</f>
        <v/>
      </c>
      <c r="B5" s="36">
        <f>WBS!A2</f>
        <v/>
      </c>
      <c r="C5" s="37">
        <f>WBS!C2</f>
        <v/>
      </c>
      <c r="D5" s="37">
        <f>WBS!D2</f>
        <v/>
      </c>
      <c r="E5" s="38" t="inlineStr">
        <is>
          <t>sum</t>
        </is>
      </c>
    </row>
    <row r="6">
      <c r="A6" s="35">
        <f>WBS!E3</f>
        <v/>
      </c>
      <c r="B6" s="39">
        <f>WBS!A3</f>
        <v/>
      </c>
      <c r="C6" s="37">
        <f>WBS!C3</f>
        <v/>
      </c>
      <c r="D6" s="37">
        <f>WBS!D3</f>
        <v/>
      </c>
      <c r="E6" s="38" t="inlineStr">
        <is>
          <t>sum</t>
        </is>
      </c>
    </row>
    <row r="7">
      <c r="A7" s="40">
        <f>WBS!E4</f>
        <v/>
      </c>
      <c r="B7" s="41">
        <f>WBS!A4</f>
        <v/>
      </c>
      <c r="C7" s="42">
        <f>WBS!C4</f>
        <v/>
      </c>
      <c r="D7" s="42">
        <f>WBS!D4</f>
        <v/>
      </c>
      <c r="E7" s="38" t="inlineStr">
        <is>
          <t>ms</t>
        </is>
      </c>
    </row>
    <row r="8">
      <c r="A8" s="40">
        <f>WBS!E5</f>
        <v/>
      </c>
      <c r="B8" s="41">
        <f>WBS!A5</f>
        <v/>
      </c>
      <c r="C8" s="42">
        <f>WBS!C5</f>
        <v/>
      </c>
      <c r="D8" s="42">
        <f>WBS!D5</f>
        <v/>
      </c>
      <c r="E8" s="38" t="inlineStr">
        <is>
          <t>ms</t>
        </is>
      </c>
    </row>
    <row r="9">
      <c r="A9" s="40">
        <f>WBS!E6</f>
        <v/>
      </c>
      <c r="B9" s="41">
        <f>WBS!A6</f>
        <v/>
      </c>
      <c r="C9" s="42">
        <f>WBS!C6</f>
        <v/>
      </c>
      <c r="D9" s="42">
        <f>WBS!D6</f>
        <v/>
      </c>
      <c r="E9" s="38" t="inlineStr">
        <is>
          <t>ms</t>
        </is>
      </c>
    </row>
    <row r="10">
      <c r="A10" s="35">
        <f>WBS!E7</f>
        <v/>
      </c>
      <c r="B10" s="43">
        <f>WBS!A7</f>
        <v/>
      </c>
      <c r="C10" s="37">
        <f>WBS!C7</f>
        <v/>
      </c>
      <c r="D10" s="37">
        <f>WBS!D7</f>
        <v/>
      </c>
      <c r="E10" s="38" t="inlineStr">
        <is>
          <t>sum</t>
        </is>
      </c>
    </row>
    <row r="11">
      <c r="A11" s="35">
        <f>WBS!E8</f>
        <v/>
      </c>
      <c r="B11" s="43">
        <f>WBS!A8</f>
        <v/>
      </c>
      <c r="C11" s="37">
        <f>WBS!C8</f>
        <v/>
      </c>
      <c r="D11" s="37">
        <f>WBS!D8</f>
        <v/>
      </c>
      <c r="E11" s="38" t="inlineStr">
        <is>
          <t>sum</t>
        </is>
      </c>
    </row>
    <row r="12">
      <c r="A12" s="35">
        <f>WBS!E9</f>
        <v/>
      </c>
      <c r="B12" s="39">
        <f>WBS!A9</f>
        <v/>
      </c>
      <c r="C12" s="37">
        <f>WBS!C9</f>
        <v/>
      </c>
      <c r="D12" s="37">
        <f>WBS!D9</f>
        <v/>
      </c>
      <c r="E12" s="38" t="inlineStr">
        <is>
          <t>sum</t>
        </is>
      </c>
    </row>
    <row r="13">
      <c r="A13" s="40">
        <f>WBS!E10</f>
        <v/>
      </c>
      <c r="B13" s="41">
        <f>WBS!A10</f>
        <v/>
      </c>
      <c r="C13" s="42">
        <f>WBS!C10</f>
        <v/>
      </c>
      <c r="D13" s="42">
        <f>WBS!D10</f>
        <v/>
      </c>
      <c r="E13" s="38" t="inlineStr">
        <is>
          <t>ms</t>
        </is>
      </c>
    </row>
    <row r="14">
      <c r="A14" s="40">
        <f>WBS!E11</f>
        <v/>
      </c>
      <c r="B14" s="41">
        <f>WBS!A11</f>
        <v/>
      </c>
      <c r="C14" s="42">
        <f>WBS!C11</f>
        <v/>
      </c>
      <c r="D14" s="42">
        <f>WBS!D11</f>
        <v/>
      </c>
      <c r="E14" s="38" t="inlineStr">
        <is>
          <t>ms</t>
        </is>
      </c>
    </row>
    <row r="15">
      <c r="A15" s="35">
        <f>WBS!E12</f>
        <v/>
      </c>
      <c r="B15" s="39">
        <f>WBS!A12</f>
        <v/>
      </c>
      <c r="C15" s="37">
        <f>WBS!C12</f>
        <v/>
      </c>
      <c r="D15" s="37">
        <f>WBS!D12</f>
        <v/>
      </c>
      <c r="E15" s="38" t="inlineStr">
        <is>
          <t>sum</t>
        </is>
      </c>
    </row>
    <row r="16">
      <c r="A16" s="35">
        <f>WBS!E13</f>
        <v/>
      </c>
      <c r="B16" s="43">
        <f>WBS!A13</f>
        <v/>
      </c>
      <c r="C16" s="37">
        <f>WBS!C13</f>
        <v/>
      </c>
      <c r="D16" s="37">
        <f>WBS!D13</f>
        <v/>
      </c>
      <c r="E16" s="38" t="inlineStr">
        <is>
          <t>sum</t>
        </is>
      </c>
    </row>
    <row r="17">
      <c r="A17" s="40">
        <f>WBS!E14</f>
        <v/>
      </c>
      <c r="B17" s="44">
        <f>WBS!A14</f>
        <v/>
      </c>
      <c r="C17" s="42">
        <f>WBS!C14</f>
        <v/>
      </c>
      <c r="D17" s="42">
        <f>WBS!D14</f>
        <v/>
      </c>
      <c r="E17" s="38" t="inlineStr">
        <is>
          <t>exec</t>
        </is>
      </c>
    </row>
    <row r="18">
      <c r="A18" s="40">
        <f>WBS!E15</f>
        <v/>
      </c>
      <c r="B18" s="44">
        <f>WBS!A15</f>
        <v/>
      </c>
      <c r="C18" s="42">
        <f>WBS!C15</f>
        <v/>
      </c>
      <c r="D18" s="42">
        <f>WBS!D15</f>
        <v/>
      </c>
      <c r="E18" s="38" t="inlineStr">
        <is>
          <t>ms</t>
        </is>
      </c>
    </row>
    <row r="19">
      <c r="A19" s="40">
        <f>WBS!E16</f>
        <v/>
      </c>
      <c r="B19" s="44">
        <f>WBS!A16</f>
        <v/>
      </c>
      <c r="C19" s="42">
        <f>WBS!C16</f>
        <v/>
      </c>
      <c r="D19" s="42">
        <f>WBS!D16</f>
        <v/>
      </c>
      <c r="E19" s="38" t="inlineStr">
        <is>
          <t>adm</t>
        </is>
      </c>
    </row>
    <row r="20">
      <c r="A20" s="40">
        <f>WBS!E17</f>
        <v/>
      </c>
      <c r="B20" s="44">
        <f>WBS!A17</f>
        <v/>
      </c>
      <c r="C20" s="42">
        <f>WBS!C17</f>
        <v/>
      </c>
      <c r="D20" s="42">
        <f>WBS!D17</f>
        <v/>
      </c>
      <c r="E20" s="38" t="inlineStr">
        <is>
          <t>adm</t>
        </is>
      </c>
    </row>
    <row r="21">
      <c r="A21" s="40">
        <f>WBS!E18</f>
        <v/>
      </c>
      <c r="B21" s="44">
        <f>WBS!A18</f>
        <v/>
      </c>
      <c r="C21" s="42">
        <f>WBS!C18</f>
        <v/>
      </c>
      <c r="D21" s="42">
        <f>WBS!D18</f>
        <v/>
      </c>
      <c r="E21" s="38" t="inlineStr">
        <is>
          <t>adm</t>
        </is>
      </c>
    </row>
    <row r="22">
      <c r="A22" s="40">
        <f>WBS!E19</f>
        <v/>
      </c>
      <c r="B22" s="44">
        <f>WBS!A19</f>
        <v/>
      </c>
      <c r="C22" s="42">
        <f>WBS!C19</f>
        <v/>
      </c>
      <c r="D22" s="42">
        <f>WBS!D19</f>
        <v/>
      </c>
      <c r="E22" s="38" t="inlineStr">
        <is>
          <t>com</t>
        </is>
      </c>
    </row>
    <row r="23">
      <c r="A23" s="40">
        <f>WBS!E20</f>
        <v/>
      </c>
      <c r="B23" s="44">
        <f>WBS!A20</f>
        <v/>
      </c>
      <c r="C23" s="42">
        <f>WBS!C20</f>
        <v/>
      </c>
      <c r="D23" s="42">
        <f>WBS!D20</f>
        <v/>
      </c>
      <c r="E23" s="38" t="inlineStr">
        <is>
          <t>com</t>
        </is>
      </c>
    </row>
    <row r="24">
      <c r="A24" s="40">
        <f>WBS!E21</f>
        <v/>
      </c>
      <c r="B24" s="44">
        <f>WBS!A21</f>
        <v/>
      </c>
      <c r="C24" s="42">
        <f>WBS!C21</f>
        <v/>
      </c>
      <c r="D24" s="42">
        <f>WBS!D21</f>
        <v/>
      </c>
      <c r="E24" s="38" t="inlineStr">
        <is>
          <t>ms</t>
        </is>
      </c>
    </row>
    <row r="25">
      <c r="A25" s="40">
        <f>WBS!E22</f>
        <v/>
      </c>
      <c r="B25" s="44">
        <f>WBS!A22</f>
        <v/>
      </c>
      <c r="C25" s="42">
        <f>WBS!C22</f>
        <v/>
      </c>
      <c r="D25" s="42">
        <f>WBS!D22</f>
        <v/>
      </c>
      <c r="E25" s="38" t="inlineStr">
        <is>
          <t>enc</t>
        </is>
      </c>
    </row>
    <row r="26">
      <c r="A26" s="40">
        <f>WBS!E23</f>
        <v/>
      </c>
      <c r="B26" s="44">
        <f>WBS!A23</f>
        <v/>
      </c>
      <c r="C26" s="42">
        <f>WBS!C23</f>
        <v/>
      </c>
      <c r="D26" s="42">
        <f>WBS!D23</f>
        <v/>
      </c>
      <c r="E26" s="38" t="inlineStr">
        <is>
          <t>enc</t>
        </is>
      </c>
    </row>
    <row r="27">
      <c r="A27" s="35">
        <f>WBS!E24</f>
        <v/>
      </c>
      <c r="B27" s="43">
        <f>WBS!A24</f>
        <v/>
      </c>
      <c r="C27" s="37">
        <f>WBS!C24</f>
        <v/>
      </c>
      <c r="D27" s="37">
        <f>WBS!D24</f>
        <v/>
      </c>
      <c r="E27" s="38" t="inlineStr">
        <is>
          <t>sum</t>
        </is>
      </c>
    </row>
    <row r="28">
      <c r="A28" s="40">
        <f>WBS!E25</f>
        <v/>
      </c>
      <c r="B28" s="44">
        <f>WBS!A25</f>
        <v/>
      </c>
      <c r="C28" s="42">
        <f>WBS!C25</f>
        <v/>
      </c>
      <c r="D28" s="42">
        <f>WBS!D25</f>
        <v/>
      </c>
      <c r="E28" s="38" t="inlineStr">
        <is>
          <t>exec</t>
        </is>
      </c>
    </row>
    <row r="29">
      <c r="A29" s="40">
        <f>WBS!E26</f>
        <v/>
      </c>
      <c r="B29" s="44">
        <f>WBS!A26</f>
        <v/>
      </c>
      <c r="C29" s="42">
        <f>WBS!C26</f>
        <v/>
      </c>
      <c r="D29" s="42">
        <f>WBS!D26</f>
        <v/>
      </c>
      <c r="E29" s="38" t="inlineStr">
        <is>
          <t>ms</t>
        </is>
      </c>
    </row>
    <row r="30">
      <c r="A30" s="40">
        <f>WBS!E27</f>
        <v/>
      </c>
      <c r="B30" s="44">
        <f>WBS!A27</f>
        <v/>
      </c>
      <c r="C30" s="42">
        <f>WBS!C27</f>
        <v/>
      </c>
      <c r="D30" s="42">
        <f>WBS!D27</f>
        <v/>
      </c>
      <c r="E30" s="38" t="inlineStr">
        <is>
          <t>adm</t>
        </is>
      </c>
    </row>
    <row r="31">
      <c r="A31" s="40">
        <f>WBS!E28</f>
        <v/>
      </c>
      <c r="B31" s="44">
        <f>WBS!A28</f>
        <v/>
      </c>
      <c r="C31" s="42">
        <f>WBS!C28</f>
        <v/>
      </c>
      <c r="D31" s="42">
        <f>WBS!D28</f>
        <v/>
      </c>
      <c r="E31" s="38" t="inlineStr">
        <is>
          <t>adm</t>
        </is>
      </c>
    </row>
    <row r="32">
      <c r="A32" s="40">
        <f>WBS!E29</f>
        <v/>
      </c>
      <c r="B32" s="44">
        <f>WBS!A29</f>
        <v/>
      </c>
      <c r="C32" s="42">
        <f>WBS!C29</f>
        <v/>
      </c>
      <c r="D32" s="42">
        <f>WBS!D29</f>
        <v/>
      </c>
      <c r="E32" s="38" t="inlineStr">
        <is>
          <t>adm</t>
        </is>
      </c>
    </row>
    <row r="33">
      <c r="A33" s="40">
        <f>WBS!E30</f>
        <v/>
      </c>
      <c r="B33" s="44">
        <f>WBS!A30</f>
        <v/>
      </c>
      <c r="C33" s="42">
        <f>WBS!C30</f>
        <v/>
      </c>
      <c r="D33" s="42">
        <f>WBS!D30</f>
        <v/>
      </c>
      <c r="E33" s="38" t="inlineStr">
        <is>
          <t>com</t>
        </is>
      </c>
    </row>
    <row r="34">
      <c r="A34" s="40">
        <f>WBS!E31</f>
        <v/>
      </c>
      <c r="B34" s="44">
        <f>WBS!A31</f>
        <v/>
      </c>
      <c r="C34" s="42">
        <f>WBS!C31</f>
        <v/>
      </c>
      <c r="D34" s="42">
        <f>WBS!D31</f>
        <v/>
      </c>
      <c r="E34" s="38" t="inlineStr">
        <is>
          <t>com</t>
        </is>
      </c>
    </row>
    <row r="35">
      <c r="A35" s="40">
        <f>WBS!E32</f>
        <v/>
      </c>
      <c r="B35" s="44">
        <f>WBS!A32</f>
        <v/>
      </c>
      <c r="C35" s="42">
        <f>WBS!C32</f>
        <v/>
      </c>
      <c r="D35" s="42">
        <f>WBS!D32</f>
        <v/>
      </c>
      <c r="E35" s="38" t="inlineStr">
        <is>
          <t>ms</t>
        </is>
      </c>
    </row>
    <row r="36">
      <c r="A36" s="40">
        <f>WBS!E33</f>
        <v/>
      </c>
      <c r="B36" s="44">
        <f>WBS!A33</f>
        <v/>
      </c>
      <c r="C36" s="42">
        <f>WBS!C33</f>
        <v/>
      </c>
      <c r="D36" s="42">
        <f>WBS!D33</f>
        <v/>
      </c>
      <c r="E36" s="38" t="inlineStr">
        <is>
          <t>enc</t>
        </is>
      </c>
    </row>
    <row r="37">
      <c r="A37" s="40">
        <f>WBS!E34</f>
        <v/>
      </c>
      <c r="B37" s="44">
        <f>WBS!A34</f>
        <v/>
      </c>
      <c r="C37" s="42">
        <f>WBS!C34</f>
        <v/>
      </c>
      <c r="D37" s="42">
        <f>WBS!D34</f>
        <v/>
      </c>
      <c r="E37" s="38" t="inlineStr">
        <is>
          <t>enc</t>
        </is>
      </c>
    </row>
    <row r="38">
      <c r="A38" s="35">
        <f>WBS!E35</f>
        <v/>
      </c>
      <c r="B38" s="43">
        <f>WBS!A35</f>
        <v/>
      </c>
      <c r="C38" s="37">
        <f>WBS!C35</f>
        <v/>
      </c>
      <c r="D38" s="37">
        <f>WBS!D35</f>
        <v/>
      </c>
      <c r="E38" s="38" t="inlineStr">
        <is>
          <t>sum</t>
        </is>
      </c>
    </row>
    <row r="39">
      <c r="A39" s="40">
        <f>WBS!E36</f>
        <v/>
      </c>
      <c r="B39" s="44">
        <f>WBS!A36</f>
        <v/>
      </c>
      <c r="C39" s="42">
        <f>WBS!C36</f>
        <v/>
      </c>
      <c r="D39" s="42">
        <f>WBS!D36</f>
        <v/>
      </c>
      <c r="E39" s="38" t="inlineStr">
        <is>
          <t>exec</t>
        </is>
      </c>
    </row>
    <row r="40">
      <c r="A40" s="40">
        <f>WBS!E37</f>
        <v/>
      </c>
      <c r="B40" s="44">
        <f>WBS!A37</f>
        <v/>
      </c>
      <c r="C40" s="42">
        <f>WBS!C37</f>
        <v/>
      </c>
      <c r="D40" s="42">
        <f>WBS!D37</f>
        <v/>
      </c>
      <c r="E40" s="38" t="inlineStr">
        <is>
          <t>ms</t>
        </is>
      </c>
    </row>
    <row r="41">
      <c r="A41" s="40">
        <f>WBS!E38</f>
        <v/>
      </c>
      <c r="B41" s="44">
        <f>WBS!A38</f>
        <v/>
      </c>
      <c r="C41" s="42">
        <f>WBS!C38</f>
        <v/>
      </c>
      <c r="D41" s="42">
        <f>WBS!D38</f>
        <v/>
      </c>
      <c r="E41" s="38" t="inlineStr">
        <is>
          <t>adm</t>
        </is>
      </c>
    </row>
    <row r="42">
      <c r="A42" s="40">
        <f>WBS!E39</f>
        <v/>
      </c>
      <c r="B42" s="44">
        <f>WBS!A39</f>
        <v/>
      </c>
      <c r="C42" s="42">
        <f>WBS!C39</f>
        <v/>
      </c>
      <c r="D42" s="42">
        <f>WBS!D39</f>
        <v/>
      </c>
      <c r="E42" s="38" t="inlineStr">
        <is>
          <t>adm</t>
        </is>
      </c>
    </row>
    <row r="43">
      <c r="A43" s="40">
        <f>WBS!E40</f>
        <v/>
      </c>
      <c r="B43" s="44">
        <f>WBS!A40</f>
        <v/>
      </c>
      <c r="C43" s="42">
        <f>WBS!C40</f>
        <v/>
      </c>
      <c r="D43" s="42">
        <f>WBS!D40</f>
        <v/>
      </c>
      <c r="E43" s="38" t="inlineStr">
        <is>
          <t>adm</t>
        </is>
      </c>
    </row>
    <row r="44">
      <c r="A44" s="40">
        <f>WBS!E41</f>
        <v/>
      </c>
      <c r="B44" s="44">
        <f>WBS!A41</f>
        <v/>
      </c>
      <c r="C44" s="42">
        <f>WBS!C41</f>
        <v/>
      </c>
      <c r="D44" s="42">
        <f>WBS!D41</f>
        <v/>
      </c>
      <c r="E44" s="38" t="inlineStr">
        <is>
          <t>com</t>
        </is>
      </c>
    </row>
    <row r="45">
      <c r="A45" s="40">
        <f>WBS!E42</f>
        <v/>
      </c>
      <c r="B45" s="44">
        <f>WBS!A42</f>
        <v/>
      </c>
      <c r="C45" s="42">
        <f>WBS!C42</f>
        <v/>
      </c>
      <c r="D45" s="42">
        <f>WBS!D42</f>
        <v/>
      </c>
      <c r="E45" s="38" t="inlineStr">
        <is>
          <t>com</t>
        </is>
      </c>
    </row>
    <row r="46">
      <c r="A46" s="40">
        <f>WBS!E43</f>
        <v/>
      </c>
      <c r="B46" s="44">
        <f>WBS!A43</f>
        <v/>
      </c>
      <c r="C46" s="42">
        <f>WBS!C43</f>
        <v/>
      </c>
      <c r="D46" s="42">
        <f>WBS!D43</f>
        <v/>
      </c>
      <c r="E46" s="38" t="inlineStr">
        <is>
          <t>ms</t>
        </is>
      </c>
    </row>
    <row r="47">
      <c r="A47" s="40">
        <f>WBS!E44</f>
        <v/>
      </c>
      <c r="B47" s="44">
        <f>WBS!A44</f>
        <v/>
      </c>
      <c r="C47" s="42">
        <f>WBS!C44</f>
        <v/>
      </c>
      <c r="D47" s="42">
        <f>WBS!D44</f>
        <v/>
      </c>
      <c r="E47" s="38" t="inlineStr">
        <is>
          <t>enc</t>
        </is>
      </c>
    </row>
    <row r="48">
      <c r="A48" s="40">
        <f>WBS!E45</f>
        <v/>
      </c>
      <c r="B48" s="44">
        <f>WBS!A45</f>
        <v/>
      </c>
      <c r="C48" s="42">
        <f>WBS!C45</f>
        <v/>
      </c>
      <c r="D48" s="42">
        <f>WBS!D45</f>
        <v/>
      </c>
      <c r="E48" s="38" t="inlineStr">
        <is>
          <t>enc</t>
        </is>
      </c>
    </row>
    <row r="49">
      <c r="A49" s="35">
        <f>WBS!E46</f>
        <v/>
      </c>
      <c r="B49" s="43">
        <f>WBS!A46</f>
        <v/>
      </c>
      <c r="C49" s="37">
        <f>WBS!C46</f>
        <v/>
      </c>
      <c r="D49" s="37">
        <f>WBS!D46</f>
        <v/>
      </c>
      <c r="E49" s="38" t="inlineStr">
        <is>
          <t>sum</t>
        </is>
      </c>
    </row>
    <row r="50">
      <c r="A50" s="40">
        <f>WBS!E47</f>
        <v/>
      </c>
      <c r="B50" s="44">
        <f>WBS!A47</f>
        <v/>
      </c>
      <c r="C50" s="42">
        <f>WBS!C47</f>
        <v/>
      </c>
      <c r="D50" s="42">
        <f>WBS!D47</f>
        <v/>
      </c>
      <c r="E50" s="38" t="inlineStr">
        <is>
          <t>exec</t>
        </is>
      </c>
    </row>
    <row r="51">
      <c r="A51" s="40">
        <f>WBS!E48</f>
        <v/>
      </c>
      <c r="B51" s="44">
        <f>WBS!A48</f>
        <v/>
      </c>
      <c r="C51" s="42">
        <f>WBS!C48</f>
        <v/>
      </c>
      <c r="D51" s="42">
        <f>WBS!D48</f>
        <v/>
      </c>
      <c r="E51" s="38" t="inlineStr">
        <is>
          <t>ms</t>
        </is>
      </c>
    </row>
    <row r="52">
      <c r="A52" s="40">
        <f>WBS!E49</f>
        <v/>
      </c>
      <c r="B52" s="44">
        <f>WBS!A49</f>
        <v/>
      </c>
      <c r="C52" s="42">
        <f>WBS!C49</f>
        <v/>
      </c>
      <c r="D52" s="42">
        <f>WBS!D49</f>
        <v/>
      </c>
      <c r="E52" s="38" t="inlineStr">
        <is>
          <t>adm</t>
        </is>
      </c>
    </row>
    <row r="53">
      <c r="A53" s="40">
        <f>WBS!E50</f>
        <v/>
      </c>
      <c r="B53" s="44">
        <f>WBS!A50</f>
        <v/>
      </c>
      <c r="C53" s="42">
        <f>WBS!C50</f>
        <v/>
      </c>
      <c r="D53" s="42">
        <f>WBS!D50</f>
        <v/>
      </c>
      <c r="E53" s="38" t="inlineStr">
        <is>
          <t>adm</t>
        </is>
      </c>
    </row>
    <row r="54">
      <c r="A54" s="40">
        <f>WBS!E51</f>
        <v/>
      </c>
      <c r="B54" s="44">
        <f>WBS!A51</f>
        <v/>
      </c>
      <c r="C54" s="42">
        <f>WBS!C51</f>
        <v/>
      </c>
      <c r="D54" s="42">
        <f>WBS!D51</f>
        <v/>
      </c>
      <c r="E54" s="38" t="inlineStr">
        <is>
          <t>adm</t>
        </is>
      </c>
    </row>
    <row r="55">
      <c r="A55" s="40">
        <f>WBS!E52</f>
        <v/>
      </c>
      <c r="B55" s="44">
        <f>WBS!A52</f>
        <v/>
      </c>
      <c r="C55" s="42">
        <f>WBS!C52</f>
        <v/>
      </c>
      <c r="D55" s="42">
        <f>WBS!D52</f>
        <v/>
      </c>
      <c r="E55" s="38" t="inlineStr">
        <is>
          <t>com</t>
        </is>
      </c>
    </row>
    <row r="56">
      <c r="A56" s="40">
        <f>WBS!E53</f>
        <v/>
      </c>
      <c r="B56" s="44">
        <f>WBS!A53</f>
        <v/>
      </c>
      <c r="C56" s="42">
        <f>WBS!C53</f>
        <v/>
      </c>
      <c r="D56" s="42">
        <f>WBS!D53</f>
        <v/>
      </c>
      <c r="E56" s="38" t="inlineStr">
        <is>
          <t>com</t>
        </is>
      </c>
    </row>
    <row r="57">
      <c r="A57" s="40">
        <f>WBS!E54</f>
        <v/>
      </c>
      <c r="B57" s="44">
        <f>WBS!A54</f>
        <v/>
      </c>
      <c r="C57" s="42">
        <f>WBS!C54</f>
        <v/>
      </c>
      <c r="D57" s="42">
        <f>WBS!D54</f>
        <v/>
      </c>
      <c r="E57" s="38" t="inlineStr">
        <is>
          <t>ms</t>
        </is>
      </c>
    </row>
    <row r="58">
      <c r="A58" s="40">
        <f>WBS!E55</f>
        <v/>
      </c>
      <c r="B58" s="44">
        <f>WBS!A55</f>
        <v/>
      </c>
      <c r="C58" s="42">
        <f>WBS!C55</f>
        <v/>
      </c>
      <c r="D58" s="42">
        <f>WBS!D55</f>
        <v/>
      </c>
      <c r="E58" s="38" t="inlineStr">
        <is>
          <t>enc</t>
        </is>
      </c>
    </row>
    <row r="59">
      <c r="A59" s="40">
        <f>WBS!E56</f>
        <v/>
      </c>
      <c r="B59" s="44">
        <f>WBS!A56</f>
        <v/>
      </c>
      <c r="C59" s="42">
        <f>WBS!C56</f>
        <v/>
      </c>
      <c r="D59" s="42">
        <f>WBS!D56</f>
        <v/>
      </c>
      <c r="E59" s="38" t="inlineStr">
        <is>
          <t>enc</t>
        </is>
      </c>
    </row>
    <row r="60">
      <c r="A60" s="35">
        <f>WBS!E57</f>
        <v/>
      </c>
      <c r="B60" s="43">
        <f>WBS!A57</f>
        <v/>
      </c>
      <c r="C60" s="37">
        <f>WBS!C57</f>
        <v/>
      </c>
      <c r="D60" s="37">
        <f>WBS!D57</f>
        <v/>
      </c>
      <c r="E60" s="38" t="inlineStr">
        <is>
          <t>sum</t>
        </is>
      </c>
    </row>
    <row r="61">
      <c r="A61" s="40">
        <f>WBS!E58</f>
        <v/>
      </c>
      <c r="B61" s="44">
        <f>WBS!A58</f>
        <v/>
      </c>
      <c r="C61" s="42">
        <f>WBS!C58</f>
        <v/>
      </c>
      <c r="D61" s="42">
        <f>WBS!D58</f>
        <v/>
      </c>
      <c r="E61" s="38" t="inlineStr">
        <is>
          <t>exec</t>
        </is>
      </c>
    </row>
    <row r="62">
      <c r="A62" s="40">
        <f>WBS!E59</f>
        <v/>
      </c>
      <c r="B62" s="44">
        <f>WBS!A59</f>
        <v/>
      </c>
      <c r="C62" s="42">
        <f>WBS!C59</f>
        <v/>
      </c>
      <c r="D62" s="42">
        <f>WBS!D59</f>
        <v/>
      </c>
      <c r="E62" s="38" t="inlineStr">
        <is>
          <t>ms</t>
        </is>
      </c>
    </row>
    <row r="63">
      <c r="A63" s="40">
        <f>WBS!E60</f>
        <v/>
      </c>
      <c r="B63" s="44">
        <f>WBS!A60</f>
        <v/>
      </c>
      <c r="C63" s="42">
        <f>WBS!C60</f>
        <v/>
      </c>
      <c r="D63" s="42">
        <f>WBS!D60</f>
        <v/>
      </c>
      <c r="E63" s="38" t="inlineStr">
        <is>
          <t>adm</t>
        </is>
      </c>
    </row>
    <row r="64">
      <c r="A64" s="40">
        <f>WBS!E61</f>
        <v/>
      </c>
      <c r="B64" s="44">
        <f>WBS!A61</f>
        <v/>
      </c>
      <c r="C64" s="42">
        <f>WBS!C61</f>
        <v/>
      </c>
      <c r="D64" s="42">
        <f>WBS!D61</f>
        <v/>
      </c>
      <c r="E64" s="38" t="inlineStr">
        <is>
          <t>adm</t>
        </is>
      </c>
    </row>
    <row r="65">
      <c r="A65" s="40">
        <f>WBS!E62</f>
        <v/>
      </c>
      <c r="B65" s="44">
        <f>WBS!A62</f>
        <v/>
      </c>
      <c r="C65" s="42">
        <f>WBS!C62</f>
        <v/>
      </c>
      <c r="D65" s="42">
        <f>WBS!D62</f>
        <v/>
      </c>
      <c r="E65" s="38" t="inlineStr">
        <is>
          <t>adm</t>
        </is>
      </c>
    </row>
    <row r="66">
      <c r="A66" s="40">
        <f>WBS!E63</f>
        <v/>
      </c>
      <c r="B66" s="44">
        <f>WBS!A63</f>
        <v/>
      </c>
      <c r="C66" s="42">
        <f>WBS!C63</f>
        <v/>
      </c>
      <c r="D66" s="42">
        <f>WBS!D63</f>
        <v/>
      </c>
      <c r="E66" s="38" t="inlineStr">
        <is>
          <t>com</t>
        </is>
      </c>
    </row>
    <row r="67">
      <c r="A67" s="40">
        <f>WBS!E64</f>
        <v/>
      </c>
      <c r="B67" s="44">
        <f>WBS!A64</f>
        <v/>
      </c>
      <c r="C67" s="42">
        <f>WBS!C64</f>
        <v/>
      </c>
      <c r="D67" s="42">
        <f>WBS!D64</f>
        <v/>
      </c>
      <c r="E67" s="38" t="inlineStr">
        <is>
          <t>com</t>
        </is>
      </c>
    </row>
    <row r="68">
      <c r="A68" s="40">
        <f>WBS!E65</f>
        <v/>
      </c>
      <c r="B68" s="44">
        <f>WBS!A65</f>
        <v/>
      </c>
      <c r="C68" s="42">
        <f>WBS!C65</f>
        <v/>
      </c>
      <c r="D68" s="42">
        <f>WBS!D65</f>
        <v/>
      </c>
      <c r="E68" s="38" t="inlineStr">
        <is>
          <t>ms</t>
        </is>
      </c>
    </row>
    <row r="69">
      <c r="A69" s="40">
        <f>WBS!E66</f>
        <v/>
      </c>
      <c r="B69" s="44">
        <f>WBS!A66</f>
        <v/>
      </c>
      <c r="C69" s="42">
        <f>WBS!C66</f>
        <v/>
      </c>
      <c r="D69" s="42">
        <f>WBS!D66</f>
        <v/>
      </c>
      <c r="E69" s="38" t="inlineStr">
        <is>
          <t>enc</t>
        </is>
      </c>
    </row>
    <row r="70">
      <c r="A70" s="40">
        <f>WBS!E67</f>
        <v/>
      </c>
      <c r="B70" s="44">
        <f>WBS!A67</f>
        <v/>
      </c>
      <c r="C70" s="42">
        <f>WBS!C67</f>
        <v/>
      </c>
      <c r="D70" s="42">
        <f>WBS!D67</f>
        <v/>
      </c>
      <c r="E70" s="38" t="inlineStr">
        <is>
          <t>enc</t>
        </is>
      </c>
    </row>
    <row r="71">
      <c r="A71" s="35">
        <f>WBS!E68</f>
        <v/>
      </c>
      <c r="B71" s="43">
        <f>WBS!A68</f>
        <v/>
      </c>
      <c r="C71" s="37">
        <f>WBS!C68</f>
        <v/>
      </c>
      <c r="D71" s="37">
        <f>WBS!D68</f>
        <v/>
      </c>
      <c r="E71" s="38" t="inlineStr">
        <is>
          <t>sum</t>
        </is>
      </c>
    </row>
    <row r="72">
      <c r="A72" s="40">
        <f>WBS!E69</f>
        <v/>
      </c>
      <c r="B72" s="44">
        <f>WBS!A69</f>
        <v/>
      </c>
      <c r="C72" s="42">
        <f>WBS!C69</f>
        <v/>
      </c>
      <c r="D72" s="42">
        <f>WBS!D69</f>
        <v/>
      </c>
      <c r="E72" s="38" t="inlineStr">
        <is>
          <t>exec</t>
        </is>
      </c>
    </row>
    <row r="73">
      <c r="A73" s="40">
        <f>WBS!E70</f>
        <v/>
      </c>
      <c r="B73" s="44">
        <f>WBS!A70</f>
        <v/>
      </c>
      <c r="C73" s="42">
        <f>WBS!C70</f>
        <v/>
      </c>
      <c r="D73" s="42">
        <f>WBS!D70</f>
        <v/>
      </c>
      <c r="E73" s="38" t="inlineStr">
        <is>
          <t>ms</t>
        </is>
      </c>
    </row>
    <row r="74">
      <c r="A74" s="40">
        <f>WBS!E71</f>
        <v/>
      </c>
      <c r="B74" s="44">
        <f>WBS!A71</f>
        <v/>
      </c>
      <c r="C74" s="42">
        <f>WBS!C71</f>
        <v/>
      </c>
      <c r="D74" s="42">
        <f>WBS!D71</f>
        <v/>
      </c>
      <c r="E74" s="38" t="inlineStr">
        <is>
          <t>adm</t>
        </is>
      </c>
    </row>
    <row r="75">
      <c r="A75" s="40">
        <f>WBS!E72</f>
        <v/>
      </c>
      <c r="B75" s="44">
        <f>WBS!A72</f>
        <v/>
      </c>
      <c r="C75" s="42">
        <f>WBS!C72</f>
        <v/>
      </c>
      <c r="D75" s="42">
        <f>WBS!D72</f>
        <v/>
      </c>
      <c r="E75" s="38" t="inlineStr">
        <is>
          <t>adm</t>
        </is>
      </c>
    </row>
    <row r="76">
      <c r="A76" s="40">
        <f>WBS!E73</f>
        <v/>
      </c>
      <c r="B76" s="44">
        <f>WBS!A73</f>
        <v/>
      </c>
      <c r="C76" s="42">
        <f>WBS!C73</f>
        <v/>
      </c>
      <c r="D76" s="42">
        <f>WBS!D73</f>
        <v/>
      </c>
      <c r="E76" s="38" t="inlineStr">
        <is>
          <t>adm</t>
        </is>
      </c>
    </row>
    <row r="77">
      <c r="A77" s="40">
        <f>WBS!E74</f>
        <v/>
      </c>
      <c r="B77" s="44">
        <f>WBS!A74</f>
        <v/>
      </c>
      <c r="C77" s="42">
        <f>WBS!C74</f>
        <v/>
      </c>
      <c r="D77" s="42">
        <f>WBS!D74</f>
        <v/>
      </c>
      <c r="E77" s="38" t="inlineStr">
        <is>
          <t>com</t>
        </is>
      </c>
    </row>
    <row r="78">
      <c r="A78" s="40">
        <f>WBS!E75</f>
        <v/>
      </c>
      <c r="B78" s="44">
        <f>WBS!A75</f>
        <v/>
      </c>
      <c r="C78" s="42">
        <f>WBS!C75</f>
        <v/>
      </c>
      <c r="D78" s="42">
        <f>WBS!D75</f>
        <v/>
      </c>
      <c r="E78" s="38" t="inlineStr">
        <is>
          <t>com</t>
        </is>
      </c>
    </row>
    <row r="79">
      <c r="A79" s="40">
        <f>WBS!E76</f>
        <v/>
      </c>
      <c r="B79" s="44">
        <f>WBS!A76</f>
        <v/>
      </c>
      <c r="C79" s="42">
        <f>WBS!C76</f>
        <v/>
      </c>
      <c r="D79" s="42">
        <f>WBS!D76</f>
        <v/>
      </c>
      <c r="E79" s="38" t="inlineStr">
        <is>
          <t>ms</t>
        </is>
      </c>
    </row>
    <row r="80">
      <c r="A80" s="40">
        <f>WBS!E77</f>
        <v/>
      </c>
      <c r="B80" s="44">
        <f>WBS!A77</f>
        <v/>
      </c>
      <c r="C80" s="42">
        <f>WBS!C77</f>
        <v/>
      </c>
      <c r="D80" s="42">
        <f>WBS!D77</f>
        <v/>
      </c>
      <c r="E80" s="38" t="inlineStr">
        <is>
          <t>enc</t>
        </is>
      </c>
    </row>
    <row r="81">
      <c r="A81" s="40">
        <f>WBS!E78</f>
        <v/>
      </c>
      <c r="B81" s="44">
        <f>WBS!A78</f>
        <v/>
      </c>
      <c r="C81" s="42">
        <f>WBS!C78</f>
        <v/>
      </c>
      <c r="D81" s="42">
        <f>WBS!D78</f>
        <v/>
      </c>
      <c r="E81" s="38" t="inlineStr">
        <is>
          <t>enc</t>
        </is>
      </c>
    </row>
    <row r="82">
      <c r="A82" s="35">
        <f>WBS!E79</f>
        <v/>
      </c>
      <c r="B82" s="43">
        <f>WBS!A79</f>
        <v/>
      </c>
      <c r="C82" s="37">
        <f>WBS!C79</f>
        <v/>
      </c>
      <c r="D82" s="37">
        <f>WBS!D79</f>
        <v/>
      </c>
      <c r="E82" s="38" t="inlineStr">
        <is>
          <t>sum</t>
        </is>
      </c>
    </row>
    <row r="83">
      <c r="A83" s="40">
        <f>WBS!E80</f>
        <v/>
      </c>
      <c r="B83" s="44">
        <f>WBS!A80</f>
        <v/>
      </c>
      <c r="C83" s="42">
        <f>WBS!C80</f>
        <v/>
      </c>
      <c r="D83" s="42">
        <f>WBS!D80</f>
        <v/>
      </c>
      <c r="E83" s="38" t="inlineStr">
        <is>
          <t>exec</t>
        </is>
      </c>
    </row>
    <row r="84">
      <c r="A84" s="40">
        <f>WBS!E81</f>
        <v/>
      </c>
      <c r="B84" s="44">
        <f>WBS!A81</f>
        <v/>
      </c>
      <c r="C84" s="42">
        <f>WBS!C81</f>
        <v/>
      </c>
      <c r="D84" s="42">
        <f>WBS!D81</f>
        <v/>
      </c>
      <c r="E84" s="38" t="inlineStr">
        <is>
          <t>ms</t>
        </is>
      </c>
    </row>
    <row r="85">
      <c r="A85" s="40">
        <f>WBS!E82</f>
        <v/>
      </c>
      <c r="B85" s="44">
        <f>WBS!A82</f>
        <v/>
      </c>
      <c r="C85" s="42">
        <f>WBS!C82</f>
        <v/>
      </c>
      <c r="D85" s="42">
        <f>WBS!D82</f>
        <v/>
      </c>
      <c r="E85" s="38" t="inlineStr">
        <is>
          <t>adm</t>
        </is>
      </c>
    </row>
    <row r="86">
      <c r="A86" s="40">
        <f>WBS!E83</f>
        <v/>
      </c>
      <c r="B86" s="44">
        <f>WBS!A83</f>
        <v/>
      </c>
      <c r="C86" s="42">
        <f>WBS!C83</f>
        <v/>
      </c>
      <c r="D86" s="42">
        <f>WBS!D83</f>
        <v/>
      </c>
      <c r="E86" s="38" t="inlineStr">
        <is>
          <t>adm</t>
        </is>
      </c>
    </row>
    <row r="87">
      <c r="A87" s="40">
        <f>WBS!E84</f>
        <v/>
      </c>
      <c r="B87" s="44">
        <f>WBS!A84</f>
        <v/>
      </c>
      <c r="C87" s="42">
        <f>WBS!C84</f>
        <v/>
      </c>
      <c r="D87" s="42">
        <f>WBS!D84</f>
        <v/>
      </c>
      <c r="E87" s="38" t="inlineStr">
        <is>
          <t>adm</t>
        </is>
      </c>
    </row>
    <row r="88">
      <c r="A88" s="40">
        <f>WBS!E85</f>
        <v/>
      </c>
      <c r="B88" s="44">
        <f>WBS!A85</f>
        <v/>
      </c>
      <c r="C88" s="42">
        <f>WBS!C85</f>
        <v/>
      </c>
      <c r="D88" s="42">
        <f>WBS!D85</f>
        <v/>
      </c>
      <c r="E88" s="38" t="inlineStr">
        <is>
          <t>com</t>
        </is>
      </c>
    </row>
    <row r="89">
      <c r="A89" s="40">
        <f>WBS!E86</f>
        <v/>
      </c>
      <c r="B89" s="44">
        <f>WBS!A86</f>
        <v/>
      </c>
      <c r="C89" s="42">
        <f>WBS!C86</f>
        <v/>
      </c>
      <c r="D89" s="42">
        <f>WBS!D86</f>
        <v/>
      </c>
      <c r="E89" s="38" t="inlineStr">
        <is>
          <t>com</t>
        </is>
      </c>
    </row>
    <row r="90">
      <c r="A90" s="40">
        <f>WBS!E87</f>
        <v/>
      </c>
      <c r="B90" s="44">
        <f>WBS!A87</f>
        <v/>
      </c>
      <c r="C90" s="42">
        <f>WBS!C87</f>
        <v/>
      </c>
      <c r="D90" s="42">
        <f>WBS!D87</f>
        <v/>
      </c>
      <c r="E90" s="38" t="inlineStr">
        <is>
          <t>ms</t>
        </is>
      </c>
    </row>
    <row r="91">
      <c r="A91" s="40">
        <f>WBS!E88</f>
        <v/>
      </c>
      <c r="B91" s="44">
        <f>WBS!A88</f>
        <v/>
      </c>
      <c r="C91" s="42">
        <f>WBS!C88</f>
        <v/>
      </c>
      <c r="D91" s="42">
        <f>WBS!D88</f>
        <v/>
      </c>
      <c r="E91" s="38" t="inlineStr">
        <is>
          <t>enc</t>
        </is>
      </c>
    </row>
    <row r="92">
      <c r="A92" s="40">
        <f>WBS!E89</f>
        <v/>
      </c>
      <c r="B92" s="44">
        <f>WBS!A89</f>
        <v/>
      </c>
      <c r="C92" s="42">
        <f>WBS!C89</f>
        <v/>
      </c>
      <c r="D92" s="42">
        <f>WBS!D89</f>
        <v/>
      </c>
      <c r="E92" s="38" t="inlineStr">
        <is>
          <t>enc</t>
        </is>
      </c>
    </row>
    <row r="93">
      <c r="A93" s="35">
        <f>WBS!E90</f>
        <v/>
      </c>
      <c r="B93" s="43">
        <f>WBS!A90</f>
        <v/>
      </c>
      <c r="C93" s="37">
        <f>WBS!C90</f>
        <v/>
      </c>
      <c r="D93" s="37">
        <f>WBS!D90</f>
        <v/>
      </c>
      <c r="E93" s="38" t="inlineStr">
        <is>
          <t>sum</t>
        </is>
      </c>
    </row>
    <row r="94">
      <c r="A94" s="40">
        <f>WBS!E91</f>
        <v/>
      </c>
      <c r="B94" s="44">
        <f>WBS!A91</f>
        <v/>
      </c>
      <c r="C94" s="42">
        <f>WBS!C91</f>
        <v/>
      </c>
      <c r="D94" s="42">
        <f>WBS!D91</f>
        <v/>
      </c>
      <c r="E94" s="38" t="inlineStr">
        <is>
          <t>exec</t>
        </is>
      </c>
    </row>
    <row r="95">
      <c r="A95" s="40">
        <f>WBS!E92</f>
        <v/>
      </c>
      <c r="B95" s="44">
        <f>WBS!A92</f>
        <v/>
      </c>
      <c r="C95" s="42">
        <f>WBS!C92</f>
        <v/>
      </c>
      <c r="D95" s="42">
        <f>WBS!D92</f>
        <v/>
      </c>
      <c r="E95" s="38" t="inlineStr">
        <is>
          <t>ms</t>
        </is>
      </c>
    </row>
    <row r="96">
      <c r="A96" s="40">
        <f>WBS!E93</f>
        <v/>
      </c>
      <c r="B96" s="44">
        <f>WBS!A93</f>
        <v/>
      </c>
      <c r="C96" s="42">
        <f>WBS!C93</f>
        <v/>
      </c>
      <c r="D96" s="42">
        <f>WBS!D93</f>
        <v/>
      </c>
      <c r="E96" s="38" t="inlineStr">
        <is>
          <t>adm</t>
        </is>
      </c>
    </row>
    <row r="97">
      <c r="A97" s="40">
        <f>WBS!E94</f>
        <v/>
      </c>
      <c r="B97" s="44">
        <f>WBS!A94</f>
        <v/>
      </c>
      <c r="C97" s="42">
        <f>WBS!C94</f>
        <v/>
      </c>
      <c r="D97" s="42">
        <f>WBS!D94</f>
        <v/>
      </c>
      <c r="E97" s="38" t="inlineStr">
        <is>
          <t>adm</t>
        </is>
      </c>
    </row>
    <row r="98">
      <c r="A98" s="40">
        <f>WBS!E95</f>
        <v/>
      </c>
      <c r="B98" s="44">
        <f>WBS!A95</f>
        <v/>
      </c>
      <c r="C98" s="42">
        <f>WBS!C95</f>
        <v/>
      </c>
      <c r="D98" s="42">
        <f>WBS!D95</f>
        <v/>
      </c>
      <c r="E98" s="38" t="inlineStr">
        <is>
          <t>adm</t>
        </is>
      </c>
    </row>
    <row r="99">
      <c r="A99" s="40">
        <f>WBS!E96</f>
        <v/>
      </c>
      <c r="B99" s="44">
        <f>WBS!A96</f>
        <v/>
      </c>
      <c r="C99" s="42">
        <f>WBS!C96</f>
        <v/>
      </c>
      <c r="D99" s="42">
        <f>WBS!D96</f>
        <v/>
      </c>
      <c r="E99" s="38" t="inlineStr">
        <is>
          <t>com</t>
        </is>
      </c>
    </row>
    <row r="100">
      <c r="A100" s="40">
        <f>WBS!E97</f>
        <v/>
      </c>
      <c r="B100" s="44">
        <f>WBS!A97</f>
        <v/>
      </c>
      <c r="C100" s="42">
        <f>WBS!C97</f>
        <v/>
      </c>
      <c r="D100" s="42">
        <f>WBS!D97</f>
        <v/>
      </c>
      <c r="E100" s="38" t="inlineStr">
        <is>
          <t>com</t>
        </is>
      </c>
    </row>
    <row r="101">
      <c r="A101" s="40">
        <f>WBS!E98</f>
        <v/>
      </c>
      <c r="B101" s="44">
        <f>WBS!A98</f>
        <v/>
      </c>
      <c r="C101" s="42">
        <f>WBS!C98</f>
        <v/>
      </c>
      <c r="D101" s="42">
        <f>WBS!D98</f>
        <v/>
      </c>
      <c r="E101" s="38" t="inlineStr">
        <is>
          <t>ms</t>
        </is>
      </c>
    </row>
    <row r="102">
      <c r="A102" s="40">
        <f>WBS!E99</f>
        <v/>
      </c>
      <c r="B102" s="44">
        <f>WBS!A99</f>
        <v/>
      </c>
      <c r="C102" s="42">
        <f>WBS!C99</f>
        <v/>
      </c>
      <c r="D102" s="42">
        <f>WBS!D99</f>
        <v/>
      </c>
      <c r="E102" s="38" t="inlineStr">
        <is>
          <t>enc</t>
        </is>
      </c>
    </row>
    <row r="103">
      <c r="A103" s="40">
        <f>WBS!E100</f>
        <v/>
      </c>
      <c r="B103" s="44">
        <f>WBS!A100</f>
        <v/>
      </c>
      <c r="C103" s="42">
        <f>WBS!C100</f>
        <v/>
      </c>
      <c r="D103" s="42">
        <f>WBS!D100</f>
        <v/>
      </c>
      <c r="E103" s="38" t="inlineStr">
        <is>
          <t>enc</t>
        </is>
      </c>
    </row>
    <row r="104">
      <c r="A104" s="35">
        <f>WBS!E101</f>
        <v/>
      </c>
      <c r="B104" s="43">
        <f>WBS!A101</f>
        <v/>
      </c>
      <c r="C104" s="37">
        <f>WBS!C101</f>
        <v/>
      </c>
      <c r="D104" s="37">
        <f>WBS!D101</f>
        <v/>
      </c>
      <c r="E104" s="38" t="inlineStr">
        <is>
          <t>sum</t>
        </is>
      </c>
    </row>
    <row r="105">
      <c r="A105" s="40">
        <f>WBS!E102</f>
        <v/>
      </c>
      <c r="B105" s="44">
        <f>WBS!A102</f>
        <v/>
      </c>
      <c r="C105" s="42">
        <f>WBS!C102</f>
        <v/>
      </c>
      <c r="D105" s="42">
        <f>WBS!D102</f>
        <v/>
      </c>
      <c r="E105" s="38" t="inlineStr">
        <is>
          <t>exec</t>
        </is>
      </c>
    </row>
    <row r="106">
      <c r="A106" s="40">
        <f>WBS!E103</f>
        <v/>
      </c>
      <c r="B106" s="44">
        <f>WBS!A103</f>
        <v/>
      </c>
      <c r="C106" s="42">
        <f>WBS!C103</f>
        <v/>
      </c>
      <c r="D106" s="42">
        <f>WBS!D103</f>
        <v/>
      </c>
      <c r="E106" s="38" t="inlineStr">
        <is>
          <t>ms</t>
        </is>
      </c>
    </row>
    <row r="107">
      <c r="A107" s="40">
        <f>WBS!E104</f>
        <v/>
      </c>
      <c r="B107" s="44">
        <f>WBS!A104</f>
        <v/>
      </c>
      <c r="C107" s="42">
        <f>WBS!C104</f>
        <v/>
      </c>
      <c r="D107" s="42">
        <f>WBS!D104</f>
        <v/>
      </c>
      <c r="E107" s="38" t="inlineStr">
        <is>
          <t>adm</t>
        </is>
      </c>
    </row>
    <row r="108">
      <c r="A108" s="40">
        <f>WBS!E105</f>
        <v/>
      </c>
      <c r="B108" s="44">
        <f>WBS!A105</f>
        <v/>
      </c>
      <c r="C108" s="42">
        <f>WBS!C105</f>
        <v/>
      </c>
      <c r="D108" s="42">
        <f>WBS!D105</f>
        <v/>
      </c>
      <c r="E108" s="38" t="inlineStr">
        <is>
          <t>adm</t>
        </is>
      </c>
    </row>
    <row r="109">
      <c r="A109" s="40">
        <f>WBS!E106</f>
        <v/>
      </c>
      <c r="B109" s="44">
        <f>WBS!A106</f>
        <v/>
      </c>
      <c r="C109" s="42">
        <f>WBS!C106</f>
        <v/>
      </c>
      <c r="D109" s="42">
        <f>WBS!D106</f>
        <v/>
      </c>
      <c r="E109" s="38" t="inlineStr">
        <is>
          <t>adm</t>
        </is>
      </c>
    </row>
    <row r="110">
      <c r="A110" s="40">
        <f>WBS!E107</f>
        <v/>
      </c>
      <c r="B110" s="44">
        <f>WBS!A107</f>
        <v/>
      </c>
      <c r="C110" s="42">
        <f>WBS!C107</f>
        <v/>
      </c>
      <c r="D110" s="42">
        <f>WBS!D107</f>
        <v/>
      </c>
      <c r="E110" s="38" t="inlineStr">
        <is>
          <t>com</t>
        </is>
      </c>
    </row>
    <row r="111">
      <c r="A111" s="40">
        <f>WBS!E108</f>
        <v/>
      </c>
      <c r="B111" s="44">
        <f>WBS!A108</f>
        <v/>
      </c>
      <c r="C111" s="42">
        <f>WBS!C108</f>
        <v/>
      </c>
      <c r="D111" s="42">
        <f>WBS!D108</f>
        <v/>
      </c>
      <c r="E111" s="38" t="inlineStr">
        <is>
          <t>com</t>
        </is>
      </c>
    </row>
    <row r="112">
      <c r="A112" s="40">
        <f>WBS!E109</f>
        <v/>
      </c>
      <c r="B112" s="44">
        <f>WBS!A109</f>
        <v/>
      </c>
      <c r="C112" s="42">
        <f>WBS!C109</f>
        <v/>
      </c>
      <c r="D112" s="42">
        <f>WBS!D109</f>
        <v/>
      </c>
      <c r="E112" s="38" t="inlineStr">
        <is>
          <t>ms</t>
        </is>
      </c>
    </row>
    <row r="113">
      <c r="A113" s="40">
        <f>WBS!E110</f>
        <v/>
      </c>
      <c r="B113" s="44">
        <f>WBS!A110</f>
        <v/>
      </c>
      <c r="C113" s="42">
        <f>WBS!C110</f>
        <v/>
      </c>
      <c r="D113" s="42">
        <f>WBS!D110</f>
        <v/>
      </c>
      <c r="E113" s="38" t="inlineStr">
        <is>
          <t>enc</t>
        </is>
      </c>
    </row>
    <row r="114">
      <c r="A114" s="40">
        <f>WBS!E111</f>
        <v/>
      </c>
      <c r="B114" s="44">
        <f>WBS!A111</f>
        <v/>
      </c>
      <c r="C114" s="42">
        <f>WBS!C111</f>
        <v/>
      </c>
      <c r="D114" s="42">
        <f>WBS!D111</f>
        <v/>
      </c>
      <c r="E114" s="38" t="inlineStr">
        <is>
          <t>enc</t>
        </is>
      </c>
    </row>
    <row r="115">
      <c r="A115" s="35">
        <f>WBS!E112</f>
        <v/>
      </c>
      <c r="B115" s="43">
        <f>WBS!A112</f>
        <v/>
      </c>
      <c r="C115" s="37">
        <f>WBS!C112</f>
        <v/>
      </c>
      <c r="D115" s="37">
        <f>WBS!D112</f>
        <v/>
      </c>
      <c r="E115" s="38" t="inlineStr">
        <is>
          <t>sum</t>
        </is>
      </c>
    </row>
    <row r="116">
      <c r="A116" s="40">
        <f>WBS!E113</f>
        <v/>
      </c>
      <c r="B116" s="44">
        <f>WBS!A113</f>
        <v/>
      </c>
      <c r="C116" s="42">
        <f>WBS!C113</f>
        <v/>
      </c>
      <c r="D116" s="42">
        <f>WBS!D113</f>
        <v/>
      </c>
      <c r="E116" s="38" t="inlineStr">
        <is>
          <t>exec</t>
        </is>
      </c>
    </row>
    <row r="117">
      <c r="A117" s="40">
        <f>WBS!E114</f>
        <v/>
      </c>
      <c r="B117" s="44">
        <f>WBS!A114</f>
        <v/>
      </c>
      <c r="C117" s="42">
        <f>WBS!C114</f>
        <v/>
      </c>
      <c r="D117" s="42">
        <f>WBS!D114</f>
        <v/>
      </c>
      <c r="E117" s="38" t="inlineStr">
        <is>
          <t>ms</t>
        </is>
      </c>
    </row>
    <row r="118">
      <c r="A118" s="40">
        <f>WBS!E115</f>
        <v/>
      </c>
      <c r="B118" s="44">
        <f>WBS!A115</f>
        <v/>
      </c>
      <c r="C118" s="42">
        <f>WBS!C115</f>
        <v/>
      </c>
      <c r="D118" s="42">
        <f>WBS!D115</f>
        <v/>
      </c>
      <c r="E118" s="38" t="inlineStr">
        <is>
          <t>adm</t>
        </is>
      </c>
    </row>
    <row r="119">
      <c r="A119" s="40">
        <f>WBS!E116</f>
        <v/>
      </c>
      <c r="B119" s="44">
        <f>WBS!A116</f>
        <v/>
      </c>
      <c r="C119" s="42">
        <f>WBS!C116</f>
        <v/>
      </c>
      <c r="D119" s="42">
        <f>WBS!D116</f>
        <v/>
      </c>
      <c r="E119" s="38" t="inlineStr">
        <is>
          <t>adm</t>
        </is>
      </c>
    </row>
    <row r="120">
      <c r="A120" s="40">
        <f>WBS!E117</f>
        <v/>
      </c>
      <c r="B120" s="44">
        <f>WBS!A117</f>
        <v/>
      </c>
      <c r="C120" s="42">
        <f>WBS!C117</f>
        <v/>
      </c>
      <c r="D120" s="42">
        <f>WBS!D117</f>
        <v/>
      </c>
      <c r="E120" s="38" t="inlineStr">
        <is>
          <t>adm</t>
        </is>
      </c>
    </row>
    <row r="121">
      <c r="A121" s="40">
        <f>WBS!E118</f>
        <v/>
      </c>
      <c r="B121" s="44">
        <f>WBS!A118</f>
        <v/>
      </c>
      <c r="C121" s="42">
        <f>WBS!C118</f>
        <v/>
      </c>
      <c r="D121" s="42">
        <f>WBS!D118</f>
        <v/>
      </c>
      <c r="E121" s="38" t="inlineStr">
        <is>
          <t>com</t>
        </is>
      </c>
    </row>
    <row r="122">
      <c r="A122" s="40">
        <f>WBS!E119</f>
        <v/>
      </c>
      <c r="B122" s="44">
        <f>WBS!A119</f>
        <v/>
      </c>
      <c r="C122" s="42">
        <f>WBS!C119</f>
        <v/>
      </c>
      <c r="D122" s="42">
        <f>WBS!D119</f>
        <v/>
      </c>
      <c r="E122" s="38" t="inlineStr">
        <is>
          <t>com</t>
        </is>
      </c>
    </row>
    <row r="123">
      <c r="A123" s="40">
        <f>WBS!E120</f>
        <v/>
      </c>
      <c r="B123" s="44">
        <f>WBS!A120</f>
        <v/>
      </c>
      <c r="C123" s="42">
        <f>WBS!C120</f>
        <v/>
      </c>
      <c r="D123" s="42">
        <f>WBS!D120</f>
        <v/>
      </c>
      <c r="E123" s="38" t="inlineStr">
        <is>
          <t>ms</t>
        </is>
      </c>
    </row>
    <row r="124">
      <c r="A124" s="40">
        <f>WBS!E121</f>
        <v/>
      </c>
      <c r="B124" s="44">
        <f>WBS!A121</f>
        <v/>
      </c>
      <c r="C124" s="42">
        <f>WBS!C121</f>
        <v/>
      </c>
      <c r="D124" s="42">
        <f>WBS!D121</f>
        <v/>
      </c>
      <c r="E124" s="38" t="inlineStr">
        <is>
          <t>enc</t>
        </is>
      </c>
    </row>
    <row r="125">
      <c r="A125" s="40">
        <f>WBS!E122</f>
        <v/>
      </c>
      <c r="B125" s="44">
        <f>WBS!A122</f>
        <v/>
      </c>
      <c r="C125" s="42">
        <f>WBS!C122</f>
        <v/>
      </c>
      <c r="D125" s="42">
        <f>WBS!D122</f>
        <v/>
      </c>
      <c r="E125" s="38" t="inlineStr">
        <is>
          <t>enc</t>
        </is>
      </c>
    </row>
    <row r="126">
      <c r="A126" s="35">
        <f>WBS!E123</f>
        <v/>
      </c>
      <c r="B126" s="43">
        <f>WBS!A123</f>
        <v/>
      </c>
      <c r="C126" s="37">
        <f>WBS!C123</f>
        <v/>
      </c>
      <c r="D126" s="37">
        <f>WBS!D123</f>
        <v/>
      </c>
      <c r="E126" s="38" t="inlineStr">
        <is>
          <t>sum</t>
        </is>
      </c>
    </row>
    <row r="127">
      <c r="A127" s="40">
        <f>WBS!E124</f>
        <v/>
      </c>
      <c r="B127" s="44">
        <f>WBS!A124</f>
        <v/>
      </c>
      <c r="C127" s="42">
        <f>WBS!C124</f>
        <v/>
      </c>
      <c r="D127" s="42">
        <f>WBS!D124</f>
        <v/>
      </c>
      <c r="E127" s="38" t="inlineStr">
        <is>
          <t>exec</t>
        </is>
      </c>
    </row>
    <row r="128">
      <c r="A128" s="40">
        <f>WBS!E125</f>
        <v/>
      </c>
      <c r="B128" s="44">
        <f>WBS!A125</f>
        <v/>
      </c>
      <c r="C128" s="42">
        <f>WBS!C125</f>
        <v/>
      </c>
      <c r="D128" s="42">
        <f>WBS!D125</f>
        <v/>
      </c>
      <c r="E128" s="38" t="inlineStr">
        <is>
          <t>ms</t>
        </is>
      </c>
    </row>
    <row r="129">
      <c r="A129" s="40">
        <f>WBS!E126</f>
        <v/>
      </c>
      <c r="B129" s="44">
        <f>WBS!A126</f>
        <v/>
      </c>
      <c r="C129" s="42">
        <f>WBS!C126</f>
        <v/>
      </c>
      <c r="D129" s="42">
        <f>WBS!D126</f>
        <v/>
      </c>
      <c r="E129" s="38" t="inlineStr">
        <is>
          <t>adm</t>
        </is>
      </c>
    </row>
    <row r="130">
      <c r="A130" s="40">
        <f>WBS!E127</f>
        <v/>
      </c>
      <c r="B130" s="44">
        <f>WBS!A127</f>
        <v/>
      </c>
      <c r="C130" s="42">
        <f>WBS!C127</f>
        <v/>
      </c>
      <c r="D130" s="42">
        <f>WBS!D127</f>
        <v/>
      </c>
      <c r="E130" s="38" t="inlineStr">
        <is>
          <t>adm</t>
        </is>
      </c>
    </row>
    <row r="131">
      <c r="A131" s="40">
        <f>WBS!E128</f>
        <v/>
      </c>
      <c r="B131" s="44">
        <f>WBS!A128</f>
        <v/>
      </c>
      <c r="C131" s="42">
        <f>WBS!C128</f>
        <v/>
      </c>
      <c r="D131" s="42">
        <f>WBS!D128</f>
        <v/>
      </c>
      <c r="E131" s="38" t="inlineStr">
        <is>
          <t>adm</t>
        </is>
      </c>
    </row>
    <row r="132">
      <c r="A132" s="40">
        <f>WBS!E129</f>
        <v/>
      </c>
      <c r="B132" s="44">
        <f>WBS!A129</f>
        <v/>
      </c>
      <c r="C132" s="42">
        <f>WBS!C129</f>
        <v/>
      </c>
      <c r="D132" s="42">
        <f>WBS!D129</f>
        <v/>
      </c>
      <c r="E132" s="38" t="inlineStr">
        <is>
          <t>com</t>
        </is>
      </c>
    </row>
    <row r="133">
      <c r="A133" s="40">
        <f>WBS!E130</f>
        <v/>
      </c>
      <c r="B133" s="44">
        <f>WBS!A130</f>
        <v/>
      </c>
      <c r="C133" s="42">
        <f>WBS!C130</f>
        <v/>
      </c>
      <c r="D133" s="42">
        <f>WBS!D130</f>
        <v/>
      </c>
      <c r="E133" s="38" t="inlineStr">
        <is>
          <t>com</t>
        </is>
      </c>
    </row>
    <row r="134">
      <c r="A134" s="40">
        <f>WBS!E131</f>
        <v/>
      </c>
      <c r="B134" s="44">
        <f>WBS!A131</f>
        <v/>
      </c>
      <c r="C134" s="42">
        <f>WBS!C131</f>
        <v/>
      </c>
      <c r="D134" s="42">
        <f>WBS!D131</f>
        <v/>
      </c>
      <c r="E134" s="38" t="inlineStr">
        <is>
          <t>ms</t>
        </is>
      </c>
    </row>
    <row r="135">
      <c r="A135" s="40">
        <f>WBS!E132</f>
        <v/>
      </c>
      <c r="B135" s="44">
        <f>WBS!A132</f>
        <v/>
      </c>
      <c r="C135" s="42">
        <f>WBS!C132</f>
        <v/>
      </c>
      <c r="D135" s="42">
        <f>WBS!D132</f>
        <v/>
      </c>
      <c r="E135" s="38" t="inlineStr">
        <is>
          <t>enc</t>
        </is>
      </c>
    </row>
    <row r="136">
      <c r="A136" s="40">
        <f>WBS!E133</f>
        <v/>
      </c>
      <c r="B136" s="44">
        <f>WBS!A133</f>
        <v/>
      </c>
      <c r="C136" s="42">
        <f>WBS!C133</f>
        <v/>
      </c>
      <c r="D136" s="42">
        <f>WBS!D133</f>
        <v/>
      </c>
      <c r="E136" s="38" t="inlineStr">
        <is>
          <t>enc</t>
        </is>
      </c>
    </row>
    <row r="137">
      <c r="A137" s="35">
        <f>WBS!E134</f>
        <v/>
      </c>
      <c r="B137" s="43">
        <f>WBS!A134</f>
        <v/>
      </c>
      <c r="C137" s="37">
        <f>WBS!C134</f>
        <v/>
      </c>
      <c r="D137" s="37">
        <f>WBS!D134</f>
        <v/>
      </c>
      <c r="E137" s="38" t="inlineStr">
        <is>
          <t>sum</t>
        </is>
      </c>
    </row>
    <row r="138">
      <c r="A138" s="40">
        <f>WBS!E135</f>
        <v/>
      </c>
      <c r="B138" s="44">
        <f>WBS!A135</f>
        <v/>
      </c>
      <c r="C138" s="42">
        <f>WBS!C135</f>
        <v/>
      </c>
      <c r="D138" s="42">
        <f>WBS!D135</f>
        <v/>
      </c>
      <c r="E138" s="38" t="inlineStr">
        <is>
          <t>exec</t>
        </is>
      </c>
    </row>
    <row r="139">
      <c r="A139" s="40">
        <f>WBS!E136</f>
        <v/>
      </c>
      <c r="B139" s="44">
        <f>WBS!A136</f>
        <v/>
      </c>
      <c r="C139" s="42">
        <f>WBS!C136</f>
        <v/>
      </c>
      <c r="D139" s="42">
        <f>WBS!D136</f>
        <v/>
      </c>
      <c r="E139" s="38" t="inlineStr">
        <is>
          <t>ms</t>
        </is>
      </c>
    </row>
    <row r="140">
      <c r="A140" s="40">
        <f>WBS!E137</f>
        <v/>
      </c>
      <c r="B140" s="44">
        <f>WBS!A137</f>
        <v/>
      </c>
      <c r="C140" s="42">
        <f>WBS!C137</f>
        <v/>
      </c>
      <c r="D140" s="42">
        <f>WBS!D137</f>
        <v/>
      </c>
      <c r="E140" s="38" t="inlineStr">
        <is>
          <t>adm</t>
        </is>
      </c>
    </row>
    <row r="141">
      <c r="A141" s="40">
        <f>WBS!E138</f>
        <v/>
      </c>
      <c r="B141" s="44">
        <f>WBS!A138</f>
        <v/>
      </c>
      <c r="C141" s="42">
        <f>WBS!C138</f>
        <v/>
      </c>
      <c r="D141" s="42">
        <f>WBS!D138</f>
        <v/>
      </c>
      <c r="E141" s="38" t="inlineStr">
        <is>
          <t>adm</t>
        </is>
      </c>
    </row>
    <row r="142">
      <c r="A142" s="40">
        <f>WBS!E139</f>
        <v/>
      </c>
      <c r="B142" s="44">
        <f>WBS!A139</f>
        <v/>
      </c>
      <c r="C142" s="42">
        <f>WBS!C139</f>
        <v/>
      </c>
      <c r="D142" s="42">
        <f>WBS!D139</f>
        <v/>
      </c>
      <c r="E142" s="38" t="inlineStr">
        <is>
          <t>adm</t>
        </is>
      </c>
    </row>
    <row r="143">
      <c r="A143" s="40">
        <f>WBS!E140</f>
        <v/>
      </c>
      <c r="B143" s="44">
        <f>WBS!A140</f>
        <v/>
      </c>
      <c r="C143" s="42">
        <f>WBS!C140</f>
        <v/>
      </c>
      <c r="D143" s="42">
        <f>WBS!D140</f>
        <v/>
      </c>
      <c r="E143" s="38" t="inlineStr">
        <is>
          <t>com</t>
        </is>
      </c>
    </row>
    <row r="144">
      <c r="A144" s="40">
        <f>WBS!E141</f>
        <v/>
      </c>
      <c r="B144" s="44">
        <f>WBS!A141</f>
        <v/>
      </c>
      <c r="C144" s="42">
        <f>WBS!C141</f>
        <v/>
      </c>
      <c r="D144" s="42">
        <f>WBS!D141</f>
        <v/>
      </c>
      <c r="E144" s="38" t="inlineStr">
        <is>
          <t>com</t>
        </is>
      </c>
    </row>
    <row r="145">
      <c r="A145" s="40">
        <f>WBS!E142</f>
        <v/>
      </c>
      <c r="B145" s="44">
        <f>WBS!A142</f>
        <v/>
      </c>
      <c r="C145" s="42">
        <f>WBS!C142</f>
        <v/>
      </c>
      <c r="D145" s="42">
        <f>WBS!D142</f>
        <v/>
      </c>
      <c r="E145" s="38" t="inlineStr">
        <is>
          <t>ms</t>
        </is>
      </c>
    </row>
    <row r="146">
      <c r="A146" s="40">
        <f>WBS!E143</f>
        <v/>
      </c>
      <c r="B146" s="44">
        <f>WBS!A143</f>
        <v/>
      </c>
      <c r="C146" s="42">
        <f>WBS!C143</f>
        <v/>
      </c>
      <c r="D146" s="42">
        <f>WBS!D143</f>
        <v/>
      </c>
      <c r="E146" s="38" t="inlineStr">
        <is>
          <t>enc</t>
        </is>
      </c>
    </row>
    <row r="147">
      <c r="A147" s="40">
        <f>WBS!E144</f>
        <v/>
      </c>
      <c r="B147" s="44">
        <f>WBS!A144</f>
        <v/>
      </c>
      <c r="C147" s="42">
        <f>WBS!C144</f>
        <v/>
      </c>
      <c r="D147" s="42">
        <f>WBS!D144</f>
        <v/>
      </c>
      <c r="E147" s="38" t="inlineStr">
        <is>
          <t>enc</t>
        </is>
      </c>
    </row>
    <row r="149">
      <c r="B149" s="45" t="inlineStr">
        <is>
          <t>Coluna rosada = semana do limite de encerramento contábil (17/11/2027).</t>
        </is>
      </c>
    </row>
  </sheetData>
  <mergeCells count="5">
    <mergeCell ref="X2:AF2"/>
    <mergeCell ref="AG2:AO2"/>
    <mergeCell ref="AP2:AX2"/>
    <mergeCell ref="F2:N2"/>
    <mergeCell ref="O2:W2"/>
  </mergeCells>
  <conditionalFormatting sqref="F5:BN147">
    <cfRule type="expression" priority="1" dxfId="0" stopIfTrue="1">
      <formula>AND($E5="exec",F$4&lt;=$D5,F$4+6&gt;=$C5)</formula>
    </cfRule>
    <cfRule type="expression" priority="2" dxfId="1" stopIfTrue="1">
      <formula>AND($E5="adm",F$4&lt;=$D5,F$4+6&gt;=$C5)</formula>
    </cfRule>
    <cfRule type="expression" priority="3" dxfId="2" stopIfTrue="1">
      <formula>AND($E5="com",F$4&lt;=$D5,F$4+6&gt;=$C5)</formula>
    </cfRule>
    <cfRule type="expression" priority="4" dxfId="3" stopIfTrue="1">
      <formula>AND($E5="enc",F$4&lt;=$D5,F$4+6&gt;=$C5)</formula>
    </cfRule>
    <cfRule type="expression" priority="5" dxfId="4" stopIfTrue="1">
      <formula>AND($E5="ms",F$4&lt;=$D5,F$4+6&gt;=$C5)</formula>
    </cfRule>
    <cfRule type="expression" priority="6" dxfId="5" stopIfTrue="1">
      <formula>AND($E5="sum",F$4&lt;=$D5,F$4+6&gt;=$C5)</formula>
    </cfRule>
    <cfRule type="expression" priority="7" dxfId="6">
      <formula>AND(Parâmetros!$B$16&gt;=F$4,Parâmetros!$B$16&lt;=F$4+6)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4" customWidth="1" min="16" max="16"/>
    <col width="12" customWidth="1" min="17" max="17"/>
  </cols>
  <sheetData>
    <row r="1">
      <c r="A1" s="22" t="inlineStr">
        <is>
          <t>Curva orçamentária 2027 alinhada à WBS (R$) – proposta para atualização do SIACO</t>
        </is>
      </c>
    </row>
    <row r="2" ht="40" customHeight="1">
      <c r="A2" s="46" t="inlineStr">
        <is>
          <t>Material no mês de início da execução (parâmetro 60%) e serviço rateado pelos dias de execução. Total = Orçamento 08.10 (aprovado). O cadastro 08.10 distribui o valor linearmente de jan a dez; como no KOM 2026, recomenda-se ajustar o SIACO para coincidir com a curva da WBS.</t>
        </is>
      </c>
    </row>
    <row r="4" ht="30" customHeight="1">
      <c r="A4" s="1" t="inlineStr">
        <is>
          <t>SIGCO</t>
        </is>
      </c>
      <c r="B4" s="1" t="inlineStr">
        <is>
          <t>Projeto</t>
        </is>
      </c>
      <c r="C4" s="1" t="inlineStr">
        <is>
          <t>Total aprovado (08.10)</t>
        </is>
      </c>
      <c r="D4" s="1" t="inlineStr">
        <is>
          <t>Jan</t>
        </is>
      </c>
      <c r="E4" s="1" t="inlineStr">
        <is>
          <t>Fev</t>
        </is>
      </c>
      <c r="F4" s="1" t="inlineStr">
        <is>
          <t>Mar</t>
        </is>
      </c>
      <c r="G4" s="1" t="inlineStr">
        <is>
          <t>Abr</t>
        </is>
      </c>
      <c r="H4" s="1" t="inlineStr">
        <is>
          <t>Mai</t>
        </is>
      </c>
      <c r="I4" s="1" t="inlineStr">
        <is>
          <t>Jun</t>
        </is>
      </c>
      <c r="J4" s="1" t="inlineStr">
        <is>
          <t>Jul</t>
        </is>
      </c>
      <c r="K4" s="1" t="inlineStr">
        <is>
          <t>Ago</t>
        </is>
      </c>
      <c r="L4" s="1" t="inlineStr">
        <is>
          <t>Set</t>
        </is>
      </c>
      <c r="M4" s="1" t="inlineStr">
        <is>
          <t>Out</t>
        </is>
      </c>
      <c r="N4" s="1" t="inlineStr">
        <is>
          <t>Nov</t>
        </is>
      </c>
      <c r="O4" s="1" t="inlineStr">
        <is>
          <t>Dez</t>
        </is>
      </c>
      <c r="P4" s="1" t="inlineStr">
        <is>
          <t>Total curva</t>
        </is>
      </c>
      <c r="Q4" s="1" t="inlineStr">
        <is>
          <t>Check (Σ = total)</t>
        </is>
      </c>
    </row>
    <row r="5">
      <c r="A5" s="47" t="n">
        <v>90811</v>
      </c>
      <c r="B5" s="48">
        <f>Carteira!C4</f>
        <v/>
      </c>
      <c r="C5" s="49">
        <f>Carteira!L4</f>
        <v/>
      </c>
      <c r="D5" s="49">
        <f>$C5*(Parâmetros!$B$15*(YEAR(WBS!$C$14)=2027)*(MONTH(WBS!$C$14)=1)+(1-Parâmetros!$B$15)*MAX(0,MIN(WBS!$D$14,EDATE(DATE(2027,1,1),1))-MAX(WBS!$C$14,DATE(2027,1,1)))/WBS!$B$14)</f>
        <v/>
      </c>
      <c r="E5" s="49">
        <f>$C5*(Parâmetros!$B$15*(YEAR(WBS!$C$14)=2027)*(MONTH(WBS!$C$14)=2)+(1-Parâmetros!$B$15)*MAX(0,MIN(WBS!$D$14,EDATE(DATE(2027,2,1),1))-MAX(WBS!$C$14,DATE(2027,2,1)))/WBS!$B$14)</f>
        <v/>
      </c>
      <c r="F5" s="49">
        <f>$C5*(Parâmetros!$B$15*(YEAR(WBS!$C$14)=2027)*(MONTH(WBS!$C$14)=3)+(1-Parâmetros!$B$15)*MAX(0,MIN(WBS!$D$14,EDATE(DATE(2027,3,1),1))-MAX(WBS!$C$14,DATE(2027,3,1)))/WBS!$B$14)</f>
        <v/>
      </c>
      <c r="G5" s="49">
        <f>$C5*(Parâmetros!$B$15*(YEAR(WBS!$C$14)=2027)*(MONTH(WBS!$C$14)=4)+(1-Parâmetros!$B$15)*MAX(0,MIN(WBS!$D$14,EDATE(DATE(2027,4,1),1))-MAX(WBS!$C$14,DATE(2027,4,1)))/WBS!$B$14)</f>
        <v/>
      </c>
      <c r="H5" s="49">
        <f>$C5*(Parâmetros!$B$15*(YEAR(WBS!$C$14)=2027)*(MONTH(WBS!$C$14)=5)+(1-Parâmetros!$B$15)*MAX(0,MIN(WBS!$D$14,EDATE(DATE(2027,5,1),1))-MAX(WBS!$C$14,DATE(2027,5,1)))/WBS!$B$14)</f>
        <v/>
      </c>
      <c r="I5" s="49">
        <f>$C5*(Parâmetros!$B$15*(YEAR(WBS!$C$14)=2027)*(MONTH(WBS!$C$14)=6)+(1-Parâmetros!$B$15)*MAX(0,MIN(WBS!$D$14,EDATE(DATE(2027,6,1),1))-MAX(WBS!$C$14,DATE(2027,6,1)))/WBS!$B$14)</f>
        <v/>
      </c>
      <c r="J5" s="49">
        <f>$C5*(Parâmetros!$B$15*(YEAR(WBS!$C$14)=2027)*(MONTH(WBS!$C$14)=7)+(1-Parâmetros!$B$15)*MAX(0,MIN(WBS!$D$14,EDATE(DATE(2027,7,1),1))-MAX(WBS!$C$14,DATE(2027,7,1)))/WBS!$B$14)</f>
        <v/>
      </c>
      <c r="K5" s="49">
        <f>$C5*(Parâmetros!$B$15*(YEAR(WBS!$C$14)=2027)*(MONTH(WBS!$C$14)=8)+(1-Parâmetros!$B$15)*MAX(0,MIN(WBS!$D$14,EDATE(DATE(2027,8,1),1))-MAX(WBS!$C$14,DATE(2027,8,1)))/WBS!$B$14)</f>
        <v/>
      </c>
      <c r="L5" s="49">
        <f>$C5*(Parâmetros!$B$15*(YEAR(WBS!$C$14)=2027)*(MONTH(WBS!$C$14)=9)+(1-Parâmetros!$B$15)*MAX(0,MIN(WBS!$D$14,EDATE(DATE(2027,9,1),1))-MAX(WBS!$C$14,DATE(2027,9,1)))/WBS!$B$14)</f>
        <v/>
      </c>
      <c r="M5" s="49">
        <f>$C5*(Parâmetros!$B$15*(YEAR(WBS!$C$14)=2027)*(MONTH(WBS!$C$14)=10)+(1-Parâmetros!$B$15)*MAX(0,MIN(WBS!$D$14,EDATE(DATE(2027,10,1),1))-MAX(WBS!$C$14,DATE(2027,10,1)))/WBS!$B$14)</f>
        <v/>
      </c>
      <c r="N5" s="49">
        <f>$C5*(Parâmetros!$B$15*(YEAR(WBS!$C$14)=2027)*(MONTH(WBS!$C$14)=11)+(1-Parâmetros!$B$15)*MAX(0,MIN(WBS!$D$14,EDATE(DATE(2027,11,1),1))-MAX(WBS!$C$14,DATE(2027,11,1)))/WBS!$B$14)</f>
        <v/>
      </c>
      <c r="O5" s="49">
        <f>$C5*(Parâmetros!$B$15*(YEAR(WBS!$C$14)=2027)*(MONTH(WBS!$C$14)=12)+(1-Parâmetros!$B$15)*MAX(0,MIN(WBS!$D$14,EDATE(DATE(2027,12,1),1))-MAX(WBS!$C$14,DATE(2027,12,1)))/WBS!$B$14)</f>
        <v/>
      </c>
      <c r="P5" s="49">
        <f>SUM(D5:O5)</f>
        <v/>
      </c>
      <c r="Q5" s="47">
        <f>IF(ABS(P5-C5)&lt;0.5,"ok","DIVERGE")</f>
        <v/>
      </c>
    </row>
    <row r="6">
      <c r="A6" s="47" t="n">
        <v>91979</v>
      </c>
      <c r="B6" s="48">
        <f>Carteira!C5</f>
        <v/>
      </c>
      <c r="C6" s="49">
        <f>Carteira!L5</f>
        <v/>
      </c>
      <c r="D6" s="49">
        <f>$C6*(Parâmetros!$B$15*(YEAR(WBS!$C$25)=2027)*(MONTH(WBS!$C$25)=1)+(1-Parâmetros!$B$15)*MAX(0,MIN(WBS!$D$25,EDATE(DATE(2027,1,1),1))-MAX(WBS!$C$25,DATE(2027,1,1)))/WBS!$B$25)</f>
        <v/>
      </c>
      <c r="E6" s="49">
        <f>$C6*(Parâmetros!$B$15*(YEAR(WBS!$C$25)=2027)*(MONTH(WBS!$C$25)=2)+(1-Parâmetros!$B$15)*MAX(0,MIN(WBS!$D$25,EDATE(DATE(2027,2,1),1))-MAX(WBS!$C$25,DATE(2027,2,1)))/WBS!$B$25)</f>
        <v/>
      </c>
      <c r="F6" s="49">
        <f>$C6*(Parâmetros!$B$15*(YEAR(WBS!$C$25)=2027)*(MONTH(WBS!$C$25)=3)+(1-Parâmetros!$B$15)*MAX(0,MIN(WBS!$D$25,EDATE(DATE(2027,3,1),1))-MAX(WBS!$C$25,DATE(2027,3,1)))/WBS!$B$25)</f>
        <v/>
      </c>
      <c r="G6" s="49">
        <f>$C6*(Parâmetros!$B$15*(YEAR(WBS!$C$25)=2027)*(MONTH(WBS!$C$25)=4)+(1-Parâmetros!$B$15)*MAX(0,MIN(WBS!$D$25,EDATE(DATE(2027,4,1),1))-MAX(WBS!$C$25,DATE(2027,4,1)))/WBS!$B$25)</f>
        <v/>
      </c>
      <c r="H6" s="49">
        <f>$C6*(Parâmetros!$B$15*(YEAR(WBS!$C$25)=2027)*(MONTH(WBS!$C$25)=5)+(1-Parâmetros!$B$15)*MAX(0,MIN(WBS!$D$25,EDATE(DATE(2027,5,1),1))-MAX(WBS!$C$25,DATE(2027,5,1)))/WBS!$B$25)</f>
        <v/>
      </c>
      <c r="I6" s="49">
        <f>$C6*(Parâmetros!$B$15*(YEAR(WBS!$C$25)=2027)*(MONTH(WBS!$C$25)=6)+(1-Parâmetros!$B$15)*MAX(0,MIN(WBS!$D$25,EDATE(DATE(2027,6,1),1))-MAX(WBS!$C$25,DATE(2027,6,1)))/WBS!$B$25)</f>
        <v/>
      </c>
      <c r="J6" s="49">
        <f>$C6*(Parâmetros!$B$15*(YEAR(WBS!$C$25)=2027)*(MONTH(WBS!$C$25)=7)+(1-Parâmetros!$B$15)*MAX(0,MIN(WBS!$D$25,EDATE(DATE(2027,7,1),1))-MAX(WBS!$C$25,DATE(2027,7,1)))/WBS!$B$25)</f>
        <v/>
      </c>
      <c r="K6" s="49">
        <f>$C6*(Parâmetros!$B$15*(YEAR(WBS!$C$25)=2027)*(MONTH(WBS!$C$25)=8)+(1-Parâmetros!$B$15)*MAX(0,MIN(WBS!$D$25,EDATE(DATE(2027,8,1),1))-MAX(WBS!$C$25,DATE(2027,8,1)))/WBS!$B$25)</f>
        <v/>
      </c>
      <c r="L6" s="49">
        <f>$C6*(Parâmetros!$B$15*(YEAR(WBS!$C$25)=2027)*(MONTH(WBS!$C$25)=9)+(1-Parâmetros!$B$15)*MAX(0,MIN(WBS!$D$25,EDATE(DATE(2027,9,1),1))-MAX(WBS!$C$25,DATE(2027,9,1)))/WBS!$B$25)</f>
        <v/>
      </c>
      <c r="M6" s="49">
        <f>$C6*(Parâmetros!$B$15*(YEAR(WBS!$C$25)=2027)*(MONTH(WBS!$C$25)=10)+(1-Parâmetros!$B$15)*MAX(0,MIN(WBS!$D$25,EDATE(DATE(2027,10,1),1))-MAX(WBS!$C$25,DATE(2027,10,1)))/WBS!$B$25)</f>
        <v/>
      </c>
      <c r="N6" s="49">
        <f>$C6*(Parâmetros!$B$15*(YEAR(WBS!$C$25)=2027)*(MONTH(WBS!$C$25)=11)+(1-Parâmetros!$B$15)*MAX(0,MIN(WBS!$D$25,EDATE(DATE(2027,11,1),1))-MAX(WBS!$C$25,DATE(2027,11,1)))/WBS!$B$25)</f>
        <v/>
      </c>
      <c r="O6" s="49">
        <f>$C6*(Parâmetros!$B$15*(YEAR(WBS!$C$25)=2027)*(MONTH(WBS!$C$25)=12)+(1-Parâmetros!$B$15)*MAX(0,MIN(WBS!$D$25,EDATE(DATE(2027,12,1),1))-MAX(WBS!$C$25,DATE(2027,12,1)))/WBS!$B$25)</f>
        <v/>
      </c>
      <c r="P6" s="49">
        <f>SUM(D6:O6)</f>
        <v/>
      </c>
      <c r="Q6" s="47">
        <f>IF(ABS(P6-C6)&lt;0.5,"ok","DIVERGE")</f>
        <v/>
      </c>
    </row>
    <row r="7">
      <c r="A7" s="47" t="n">
        <v>92118</v>
      </c>
      <c r="B7" s="48">
        <f>Carteira!C6</f>
        <v/>
      </c>
      <c r="C7" s="49">
        <f>Carteira!L6</f>
        <v/>
      </c>
      <c r="D7" s="49">
        <f>$C7*(Parâmetros!$B$15*(YEAR(WBS!$C$36)=2027)*(MONTH(WBS!$C$36)=1)+(1-Parâmetros!$B$15)*MAX(0,MIN(WBS!$D$36,EDATE(DATE(2027,1,1),1))-MAX(WBS!$C$36,DATE(2027,1,1)))/WBS!$B$36)</f>
        <v/>
      </c>
      <c r="E7" s="49">
        <f>$C7*(Parâmetros!$B$15*(YEAR(WBS!$C$36)=2027)*(MONTH(WBS!$C$36)=2)+(1-Parâmetros!$B$15)*MAX(0,MIN(WBS!$D$36,EDATE(DATE(2027,2,1),1))-MAX(WBS!$C$36,DATE(2027,2,1)))/WBS!$B$36)</f>
        <v/>
      </c>
      <c r="F7" s="49">
        <f>$C7*(Parâmetros!$B$15*(YEAR(WBS!$C$36)=2027)*(MONTH(WBS!$C$36)=3)+(1-Parâmetros!$B$15)*MAX(0,MIN(WBS!$D$36,EDATE(DATE(2027,3,1),1))-MAX(WBS!$C$36,DATE(2027,3,1)))/WBS!$B$36)</f>
        <v/>
      </c>
      <c r="G7" s="49">
        <f>$C7*(Parâmetros!$B$15*(YEAR(WBS!$C$36)=2027)*(MONTH(WBS!$C$36)=4)+(1-Parâmetros!$B$15)*MAX(0,MIN(WBS!$D$36,EDATE(DATE(2027,4,1),1))-MAX(WBS!$C$36,DATE(2027,4,1)))/WBS!$B$36)</f>
        <v/>
      </c>
      <c r="H7" s="49">
        <f>$C7*(Parâmetros!$B$15*(YEAR(WBS!$C$36)=2027)*(MONTH(WBS!$C$36)=5)+(1-Parâmetros!$B$15)*MAX(0,MIN(WBS!$D$36,EDATE(DATE(2027,5,1),1))-MAX(WBS!$C$36,DATE(2027,5,1)))/WBS!$B$36)</f>
        <v/>
      </c>
      <c r="I7" s="49">
        <f>$C7*(Parâmetros!$B$15*(YEAR(WBS!$C$36)=2027)*(MONTH(WBS!$C$36)=6)+(1-Parâmetros!$B$15)*MAX(0,MIN(WBS!$D$36,EDATE(DATE(2027,6,1),1))-MAX(WBS!$C$36,DATE(2027,6,1)))/WBS!$B$36)</f>
        <v/>
      </c>
      <c r="J7" s="49">
        <f>$C7*(Parâmetros!$B$15*(YEAR(WBS!$C$36)=2027)*(MONTH(WBS!$C$36)=7)+(1-Parâmetros!$B$15)*MAX(0,MIN(WBS!$D$36,EDATE(DATE(2027,7,1),1))-MAX(WBS!$C$36,DATE(2027,7,1)))/WBS!$B$36)</f>
        <v/>
      </c>
      <c r="K7" s="49">
        <f>$C7*(Parâmetros!$B$15*(YEAR(WBS!$C$36)=2027)*(MONTH(WBS!$C$36)=8)+(1-Parâmetros!$B$15)*MAX(0,MIN(WBS!$D$36,EDATE(DATE(2027,8,1),1))-MAX(WBS!$C$36,DATE(2027,8,1)))/WBS!$B$36)</f>
        <v/>
      </c>
      <c r="L7" s="49">
        <f>$C7*(Parâmetros!$B$15*(YEAR(WBS!$C$36)=2027)*(MONTH(WBS!$C$36)=9)+(1-Parâmetros!$B$15)*MAX(0,MIN(WBS!$D$36,EDATE(DATE(2027,9,1),1))-MAX(WBS!$C$36,DATE(2027,9,1)))/WBS!$B$36)</f>
        <v/>
      </c>
      <c r="M7" s="49">
        <f>$C7*(Parâmetros!$B$15*(YEAR(WBS!$C$36)=2027)*(MONTH(WBS!$C$36)=10)+(1-Parâmetros!$B$15)*MAX(0,MIN(WBS!$D$36,EDATE(DATE(2027,10,1),1))-MAX(WBS!$C$36,DATE(2027,10,1)))/WBS!$B$36)</f>
        <v/>
      </c>
      <c r="N7" s="49">
        <f>$C7*(Parâmetros!$B$15*(YEAR(WBS!$C$36)=2027)*(MONTH(WBS!$C$36)=11)+(1-Parâmetros!$B$15)*MAX(0,MIN(WBS!$D$36,EDATE(DATE(2027,11,1),1))-MAX(WBS!$C$36,DATE(2027,11,1)))/WBS!$B$36)</f>
        <v/>
      </c>
      <c r="O7" s="49">
        <f>$C7*(Parâmetros!$B$15*(YEAR(WBS!$C$36)=2027)*(MONTH(WBS!$C$36)=12)+(1-Parâmetros!$B$15)*MAX(0,MIN(WBS!$D$36,EDATE(DATE(2027,12,1),1))-MAX(WBS!$C$36,DATE(2027,12,1)))/WBS!$B$36)</f>
        <v/>
      </c>
      <c r="P7" s="49">
        <f>SUM(D7:O7)</f>
        <v/>
      </c>
      <c r="Q7" s="47">
        <f>IF(ABS(P7-C7)&lt;0.5,"ok","DIVERGE")</f>
        <v/>
      </c>
    </row>
    <row r="8">
      <c r="A8" s="47" t="n">
        <v>89267</v>
      </c>
      <c r="B8" s="48">
        <f>Carteira!C7</f>
        <v/>
      </c>
      <c r="C8" s="49">
        <f>Carteira!L7</f>
        <v/>
      </c>
      <c r="D8" s="49">
        <f>$C8*(Parâmetros!$B$15*(YEAR(WBS!$C$47)=2027)*(MONTH(WBS!$C$47)=1)+(1-Parâmetros!$B$15)*MAX(0,MIN(WBS!$D$47,EDATE(DATE(2027,1,1),1))-MAX(WBS!$C$47,DATE(2027,1,1)))/WBS!$B$47)</f>
        <v/>
      </c>
      <c r="E8" s="49">
        <f>$C8*(Parâmetros!$B$15*(YEAR(WBS!$C$47)=2027)*(MONTH(WBS!$C$47)=2)+(1-Parâmetros!$B$15)*MAX(0,MIN(WBS!$D$47,EDATE(DATE(2027,2,1),1))-MAX(WBS!$C$47,DATE(2027,2,1)))/WBS!$B$47)</f>
        <v/>
      </c>
      <c r="F8" s="49">
        <f>$C8*(Parâmetros!$B$15*(YEAR(WBS!$C$47)=2027)*(MONTH(WBS!$C$47)=3)+(1-Parâmetros!$B$15)*MAX(0,MIN(WBS!$D$47,EDATE(DATE(2027,3,1),1))-MAX(WBS!$C$47,DATE(2027,3,1)))/WBS!$B$47)</f>
        <v/>
      </c>
      <c r="G8" s="49">
        <f>$C8*(Parâmetros!$B$15*(YEAR(WBS!$C$47)=2027)*(MONTH(WBS!$C$47)=4)+(1-Parâmetros!$B$15)*MAX(0,MIN(WBS!$D$47,EDATE(DATE(2027,4,1),1))-MAX(WBS!$C$47,DATE(2027,4,1)))/WBS!$B$47)</f>
        <v/>
      </c>
      <c r="H8" s="49">
        <f>$C8*(Parâmetros!$B$15*(YEAR(WBS!$C$47)=2027)*(MONTH(WBS!$C$47)=5)+(1-Parâmetros!$B$15)*MAX(0,MIN(WBS!$D$47,EDATE(DATE(2027,5,1),1))-MAX(WBS!$C$47,DATE(2027,5,1)))/WBS!$B$47)</f>
        <v/>
      </c>
      <c r="I8" s="49">
        <f>$C8*(Parâmetros!$B$15*(YEAR(WBS!$C$47)=2027)*(MONTH(WBS!$C$47)=6)+(1-Parâmetros!$B$15)*MAX(0,MIN(WBS!$D$47,EDATE(DATE(2027,6,1),1))-MAX(WBS!$C$47,DATE(2027,6,1)))/WBS!$B$47)</f>
        <v/>
      </c>
      <c r="J8" s="49">
        <f>$C8*(Parâmetros!$B$15*(YEAR(WBS!$C$47)=2027)*(MONTH(WBS!$C$47)=7)+(1-Parâmetros!$B$15)*MAX(0,MIN(WBS!$D$47,EDATE(DATE(2027,7,1),1))-MAX(WBS!$C$47,DATE(2027,7,1)))/WBS!$B$47)</f>
        <v/>
      </c>
      <c r="K8" s="49">
        <f>$C8*(Parâmetros!$B$15*(YEAR(WBS!$C$47)=2027)*(MONTH(WBS!$C$47)=8)+(1-Parâmetros!$B$15)*MAX(0,MIN(WBS!$D$47,EDATE(DATE(2027,8,1),1))-MAX(WBS!$C$47,DATE(2027,8,1)))/WBS!$B$47)</f>
        <v/>
      </c>
      <c r="L8" s="49">
        <f>$C8*(Parâmetros!$B$15*(YEAR(WBS!$C$47)=2027)*(MONTH(WBS!$C$47)=9)+(1-Parâmetros!$B$15)*MAX(0,MIN(WBS!$D$47,EDATE(DATE(2027,9,1),1))-MAX(WBS!$C$47,DATE(2027,9,1)))/WBS!$B$47)</f>
        <v/>
      </c>
      <c r="M8" s="49">
        <f>$C8*(Parâmetros!$B$15*(YEAR(WBS!$C$47)=2027)*(MONTH(WBS!$C$47)=10)+(1-Parâmetros!$B$15)*MAX(0,MIN(WBS!$D$47,EDATE(DATE(2027,10,1),1))-MAX(WBS!$C$47,DATE(2027,10,1)))/WBS!$B$47)</f>
        <v/>
      </c>
      <c r="N8" s="49">
        <f>$C8*(Parâmetros!$B$15*(YEAR(WBS!$C$47)=2027)*(MONTH(WBS!$C$47)=11)+(1-Parâmetros!$B$15)*MAX(0,MIN(WBS!$D$47,EDATE(DATE(2027,11,1),1))-MAX(WBS!$C$47,DATE(2027,11,1)))/WBS!$B$47)</f>
        <v/>
      </c>
      <c r="O8" s="49">
        <f>$C8*(Parâmetros!$B$15*(YEAR(WBS!$C$47)=2027)*(MONTH(WBS!$C$47)=12)+(1-Parâmetros!$B$15)*MAX(0,MIN(WBS!$D$47,EDATE(DATE(2027,12,1),1))-MAX(WBS!$C$47,DATE(2027,12,1)))/WBS!$B$47)</f>
        <v/>
      </c>
      <c r="P8" s="49">
        <f>SUM(D8:O8)</f>
        <v/>
      </c>
      <c r="Q8" s="47">
        <f>IF(ABS(P8-C8)&lt;0.5,"ok","DIVERGE")</f>
        <v/>
      </c>
    </row>
    <row r="9">
      <c r="A9" s="47" t="n">
        <v>92094</v>
      </c>
      <c r="B9" s="48">
        <f>Carteira!C8</f>
        <v/>
      </c>
      <c r="C9" s="49">
        <f>Carteira!L8</f>
        <v/>
      </c>
      <c r="D9" s="49">
        <f>$C9*(Parâmetros!$B$15*(YEAR(WBS!$C$58)=2027)*(MONTH(WBS!$C$58)=1)+(1-Parâmetros!$B$15)*MAX(0,MIN(WBS!$D$58,EDATE(DATE(2027,1,1),1))-MAX(WBS!$C$58,DATE(2027,1,1)))/WBS!$B$58)</f>
        <v/>
      </c>
      <c r="E9" s="49">
        <f>$C9*(Parâmetros!$B$15*(YEAR(WBS!$C$58)=2027)*(MONTH(WBS!$C$58)=2)+(1-Parâmetros!$B$15)*MAX(0,MIN(WBS!$D$58,EDATE(DATE(2027,2,1),1))-MAX(WBS!$C$58,DATE(2027,2,1)))/WBS!$B$58)</f>
        <v/>
      </c>
      <c r="F9" s="49">
        <f>$C9*(Parâmetros!$B$15*(YEAR(WBS!$C$58)=2027)*(MONTH(WBS!$C$58)=3)+(1-Parâmetros!$B$15)*MAX(0,MIN(WBS!$D$58,EDATE(DATE(2027,3,1),1))-MAX(WBS!$C$58,DATE(2027,3,1)))/WBS!$B$58)</f>
        <v/>
      </c>
      <c r="G9" s="49">
        <f>$C9*(Parâmetros!$B$15*(YEAR(WBS!$C$58)=2027)*(MONTH(WBS!$C$58)=4)+(1-Parâmetros!$B$15)*MAX(0,MIN(WBS!$D$58,EDATE(DATE(2027,4,1),1))-MAX(WBS!$C$58,DATE(2027,4,1)))/WBS!$B$58)</f>
        <v/>
      </c>
      <c r="H9" s="49">
        <f>$C9*(Parâmetros!$B$15*(YEAR(WBS!$C$58)=2027)*(MONTH(WBS!$C$58)=5)+(1-Parâmetros!$B$15)*MAX(0,MIN(WBS!$D$58,EDATE(DATE(2027,5,1),1))-MAX(WBS!$C$58,DATE(2027,5,1)))/WBS!$B$58)</f>
        <v/>
      </c>
      <c r="I9" s="49">
        <f>$C9*(Parâmetros!$B$15*(YEAR(WBS!$C$58)=2027)*(MONTH(WBS!$C$58)=6)+(1-Parâmetros!$B$15)*MAX(0,MIN(WBS!$D$58,EDATE(DATE(2027,6,1),1))-MAX(WBS!$C$58,DATE(2027,6,1)))/WBS!$B$58)</f>
        <v/>
      </c>
      <c r="J9" s="49">
        <f>$C9*(Parâmetros!$B$15*(YEAR(WBS!$C$58)=2027)*(MONTH(WBS!$C$58)=7)+(1-Parâmetros!$B$15)*MAX(0,MIN(WBS!$D$58,EDATE(DATE(2027,7,1),1))-MAX(WBS!$C$58,DATE(2027,7,1)))/WBS!$B$58)</f>
        <v/>
      </c>
      <c r="K9" s="49">
        <f>$C9*(Parâmetros!$B$15*(YEAR(WBS!$C$58)=2027)*(MONTH(WBS!$C$58)=8)+(1-Parâmetros!$B$15)*MAX(0,MIN(WBS!$D$58,EDATE(DATE(2027,8,1),1))-MAX(WBS!$C$58,DATE(2027,8,1)))/WBS!$B$58)</f>
        <v/>
      </c>
      <c r="L9" s="49">
        <f>$C9*(Parâmetros!$B$15*(YEAR(WBS!$C$58)=2027)*(MONTH(WBS!$C$58)=9)+(1-Parâmetros!$B$15)*MAX(0,MIN(WBS!$D$58,EDATE(DATE(2027,9,1),1))-MAX(WBS!$C$58,DATE(2027,9,1)))/WBS!$B$58)</f>
        <v/>
      </c>
      <c r="M9" s="49">
        <f>$C9*(Parâmetros!$B$15*(YEAR(WBS!$C$58)=2027)*(MONTH(WBS!$C$58)=10)+(1-Parâmetros!$B$15)*MAX(0,MIN(WBS!$D$58,EDATE(DATE(2027,10,1),1))-MAX(WBS!$C$58,DATE(2027,10,1)))/WBS!$B$58)</f>
        <v/>
      </c>
      <c r="N9" s="49">
        <f>$C9*(Parâmetros!$B$15*(YEAR(WBS!$C$58)=2027)*(MONTH(WBS!$C$58)=11)+(1-Parâmetros!$B$15)*MAX(0,MIN(WBS!$D$58,EDATE(DATE(2027,11,1),1))-MAX(WBS!$C$58,DATE(2027,11,1)))/WBS!$B$58)</f>
        <v/>
      </c>
      <c r="O9" s="49">
        <f>$C9*(Parâmetros!$B$15*(YEAR(WBS!$C$58)=2027)*(MONTH(WBS!$C$58)=12)+(1-Parâmetros!$B$15)*MAX(0,MIN(WBS!$D$58,EDATE(DATE(2027,12,1),1))-MAX(WBS!$C$58,DATE(2027,12,1)))/WBS!$B$58)</f>
        <v/>
      </c>
      <c r="P9" s="49">
        <f>SUM(D9:O9)</f>
        <v/>
      </c>
      <c r="Q9" s="47">
        <f>IF(ABS(P9-C9)&lt;0.5,"ok","DIVERGE")</f>
        <v/>
      </c>
    </row>
    <row r="10">
      <c r="A10" s="47" t="n">
        <v>92095</v>
      </c>
      <c r="B10" s="48">
        <f>Carteira!C9</f>
        <v/>
      </c>
      <c r="C10" s="49">
        <f>Carteira!L9</f>
        <v/>
      </c>
      <c r="D10" s="49">
        <f>$C10*(Parâmetros!$B$15*(YEAR(WBS!$C$69)=2027)*(MONTH(WBS!$C$69)=1)+(1-Parâmetros!$B$15)*MAX(0,MIN(WBS!$D$69,EDATE(DATE(2027,1,1),1))-MAX(WBS!$C$69,DATE(2027,1,1)))/WBS!$B$69)</f>
        <v/>
      </c>
      <c r="E10" s="49">
        <f>$C10*(Parâmetros!$B$15*(YEAR(WBS!$C$69)=2027)*(MONTH(WBS!$C$69)=2)+(1-Parâmetros!$B$15)*MAX(0,MIN(WBS!$D$69,EDATE(DATE(2027,2,1),1))-MAX(WBS!$C$69,DATE(2027,2,1)))/WBS!$B$69)</f>
        <v/>
      </c>
      <c r="F10" s="49">
        <f>$C10*(Parâmetros!$B$15*(YEAR(WBS!$C$69)=2027)*(MONTH(WBS!$C$69)=3)+(1-Parâmetros!$B$15)*MAX(0,MIN(WBS!$D$69,EDATE(DATE(2027,3,1),1))-MAX(WBS!$C$69,DATE(2027,3,1)))/WBS!$B$69)</f>
        <v/>
      </c>
      <c r="G10" s="49">
        <f>$C10*(Parâmetros!$B$15*(YEAR(WBS!$C$69)=2027)*(MONTH(WBS!$C$69)=4)+(1-Parâmetros!$B$15)*MAX(0,MIN(WBS!$D$69,EDATE(DATE(2027,4,1),1))-MAX(WBS!$C$69,DATE(2027,4,1)))/WBS!$B$69)</f>
        <v/>
      </c>
      <c r="H10" s="49">
        <f>$C10*(Parâmetros!$B$15*(YEAR(WBS!$C$69)=2027)*(MONTH(WBS!$C$69)=5)+(1-Parâmetros!$B$15)*MAX(0,MIN(WBS!$D$69,EDATE(DATE(2027,5,1),1))-MAX(WBS!$C$69,DATE(2027,5,1)))/WBS!$B$69)</f>
        <v/>
      </c>
      <c r="I10" s="49">
        <f>$C10*(Parâmetros!$B$15*(YEAR(WBS!$C$69)=2027)*(MONTH(WBS!$C$69)=6)+(1-Parâmetros!$B$15)*MAX(0,MIN(WBS!$D$69,EDATE(DATE(2027,6,1),1))-MAX(WBS!$C$69,DATE(2027,6,1)))/WBS!$B$69)</f>
        <v/>
      </c>
      <c r="J10" s="49">
        <f>$C10*(Parâmetros!$B$15*(YEAR(WBS!$C$69)=2027)*(MONTH(WBS!$C$69)=7)+(1-Parâmetros!$B$15)*MAX(0,MIN(WBS!$D$69,EDATE(DATE(2027,7,1),1))-MAX(WBS!$C$69,DATE(2027,7,1)))/WBS!$B$69)</f>
        <v/>
      </c>
      <c r="K10" s="49">
        <f>$C10*(Parâmetros!$B$15*(YEAR(WBS!$C$69)=2027)*(MONTH(WBS!$C$69)=8)+(1-Parâmetros!$B$15)*MAX(0,MIN(WBS!$D$69,EDATE(DATE(2027,8,1),1))-MAX(WBS!$C$69,DATE(2027,8,1)))/WBS!$B$69)</f>
        <v/>
      </c>
      <c r="L10" s="49">
        <f>$C10*(Parâmetros!$B$15*(YEAR(WBS!$C$69)=2027)*(MONTH(WBS!$C$69)=9)+(1-Parâmetros!$B$15)*MAX(0,MIN(WBS!$D$69,EDATE(DATE(2027,9,1),1))-MAX(WBS!$C$69,DATE(2027,9,1)))/WBS!$B$69)</f>
        <v/>
      </c>
      <c r="M10" s="49">
        <f>$C10*(Parâmetros!$B$15*(YEAR(WBS!$C$69)=2027)*(MONTH(WBS!$C$69)=10)+(1-Parâmetros!$B$15)*MAX(0,MIN(WBS!$D$69,EDATE(DATE(2027,10,1),1))-MAX(WBS!$C$69,DATE(2027,10,1)))/WBS!$B$69)</f>
        <v/>
      </c>
      <c r="N10" s="49">
        <f>$C10*(Parâmetros!$B$15*(YEAR(WBS!$C$69)=2027)*(MONTH(WBS!$C$69)=11)+(1-Parâmetros!$B$15)*MAX(0,MIN(WBS!$D$69,EDATE(DATE(2027,11,1),1))-MAX(WBS!$C$69,DATE(2027,11,1)))/WBS!$B$69)</f>
        <v/>
      </c>
      <c r="O10" s="49">
        <f>$C10*(Parâmetros!$B$15*(YEAR(WBS!$C$69)=2027)*(MONTH(WBS!$C$69)=12)+(1-Parâmetros!$B$15)*MAX(0,MIN(WBS!$D$69,EDATE(DATE(2027,12,1),1))-MAX(WBS!$C$69,DATE(2027,12,1)))/WBS!$B$69)</f>
        <v/>
      </c>
      <c r="P10" s="49">
        <f>SUM(D10:O10)</f>
        <v/>
      </c>
      <c r="Q10" s="47">
        <f>IF(ABS(P10-C10)&lt;0.5,"ok","DIVERGE")</f>
        <v/>
      </c>
    </row>
    <row r="11">
      <c r="A11" s="47" t="n">
        <v>92101</v>
      </c>
      <c r="B11" s="48">
        <f>Carteira!C10</f>
        <v/>
      </c>
      <c r="C11" s="49">
        <f>Carteira!L10</f>
        <v/>
      </c>
      <c r="D11" s="49">
        <f>$C11*(Parâmetros!$B$15*(YEAR(WBS!$C$80)=2027)*(MONTH(WBS!$C$80)=1)+(1-Parâmetros!$B$15)*MAX(0,MIN(WBS!$D$80,EDATE(DATE(2027,1,1),1))-MAX(WBS!$C$80,DATE(2027,1,1)))/WBS!$B$80)</f>
        <v/>
      </c>
      <c r="E11" s="49">
        <f>$C11*(Parâmetros!$B$15*(YEAR(WBS!$C$80)=2027)*(MONTH(WBS!$C$80)=2)+(1-Parâmetros!$B$15)*MAX(0,MIN(WBS!$D$80,EDATE(DATE(2027,2,1),1))-MAX(WBS!$C$80,DATE(2027,2,1)))/WBS!$B$80)</f>
        <v/>
      </c>
      <c r="F11" s="49">
        <f>$C11*(Parâmetros!$B$15*(YEAR(WBS!$C$80)=2027)*(MONTH(WBS!$C$80)=3)+(1-Parâmetros!$B$15)*MAX(0,MIN(WBS!$D$80,EDATE(DATE(2027,3,1),1))-MAX(WBS!$C$80,DATE(2027,3,1)))/WBS!$B$80)</f>
        <v/>
      </c>
      <c r="G11" s="49">
        <f>$C11*(Parâmetros!$B$15*(YEAR(WBS!$C$80)=2027)*(MONTH(WBS!$C$80)=4)+(1-Parâmetros!$B$15)*MAX(0,MIN(WBS!$D$80,EDATE(DATE(2027,4,1),1))-MAX(WBS!$C$80,DATE(2027,4,1)))/WBS!$B$80)</f>
        <v/>
      </c>
      <c r="H11" s="49">
        <f>$C11*(Parâmetros!$B$15*(YEAR(WBS!$C$80)=2027)*(MONTH(WBS!$C$80)=5)+(1-Parâmetros!$B$15)*MAX(0,MIN(WBS!$D$80,EDATE(DATE(2027,5,1),1))-MAX(WBS!$C$80,DATE(2027,5,1)))/WBS!$B$80)</f>
        <v/>
      </c>
      <c r="I11" s="49">
        <f>$C11*(Parâmetros!$B$15*(YEAR(WBS!$C$80)=2027)*(MONTH(WBS!$C$80)=6)+(1-Parâmetros!$B$15)*MAX(0,MIN(WBS!$D$80,EDATE(DATE(2027,6,1),1))-MAX(WBS!$C$80,DATE(2027,6,1)))/WBS!$B$80)</f>
        <v/>
      </c>
      <c r="J11" s="49">
        <f>$C11*(Parâmetros!$B$15*(YEAR(WBS!$C$80)=2027)*(MONTH(WBS!$C$80)=7)+(1-Parâmetros!$B$15)*MAX(0,MIN(WBS!$D$80,EDATE(DATE(2027,7,1),1))-MAX(WBS!$C$80,DATE(2027,7,1)))/WBS!$B$80)</f>
        <v/>
      </c>
      <c r="K11" s="49">
        <f>$C11*(Parâmetros!$B$15*(YEAR(WBS!$C$80)=2027)*(MONTH(WBS!$C$80)=8)+(1-Parâmetros!$B$15)*MAX(0,MIN(WBS!$D$80,EDATE(DATE(2027,8,1),1))-MAX(WBS!$C$80,DATE(2027,8,1)))/WBS!$B$80)</f>
        <v/>
      </c>
      <c r="L11" s="49">
        <f>$C11*(Parâmetros!$B$15*(YEAR(WBS!$C$80)=2027)*(MONTH(WBS!$C$80)=9)+(1-Parâmetros!$B$15)*MAX(0,MIN(WBS!$D$80,EDATE(DATE(2027,9,1),1))-MAX(WBS!$C$80,DATE(2027,9,1)))/WBS!$B$80)</f>
        <v/>
      </c>
      <c r="M11" s="49">
        <f>$C11*(Parâmetros!$B$15*(YEAR(WBS!$C$80)=2027)*(MONTH(WBS!$C$80)=10)+(1-Parâmetros!$B$15)*MAX(0,MIN(WBS!$D$80,EDATE(DATE(2027,10,1),1))-MAX(WBS!$C$80,DATE(2027,10,1)))/WBS!$B$80)</f>
        <v/>
      </c>
      <c r="N11" s="49">
        <f>$C11*(Parâmetros!$B$15*(YEAR(WBS!$C$80)=2027)*(MONTH(WBS!$C$80)=11)+(1-Parâmetros!$B$15)*MAX(0,MIN(WBS!$D$80,EDATE(DATE(2027,11,1),1))-MAX(WBS!$C$80,DATE(2027,11,1)))/WBS!$B$80)</f>
        <v/>
      </c>
      <c r="O11" s="49">
        <f>$C11*(Parâmetros!$B$15*(YEAR(WBS!$C$80)=2027)*(MONTH(WBS!$C$80)=12)+(1-Parâmetros!$B$15)*MAX(0,MIN(WBS!$D$80,EDATE(DATE(2027,12,1),1))-MAX(WBS!$C$80,DATE(2027,12,1)))/WBS!$B$80)</f>
        <v/>
      </c>
      <c r="P11" s="49">
        <f>SUM(D11:O11)</f>
        <v/>
      </c>
      <c r="Q11" s="47">
        <f>IF(ABS(P11-C11)&lt;0.5,"ok","DIVERGE")</f>
        <v/>
      </c>
    </row>
    <row r="12">
      <c r="A12" s="47" t="n">
        <v>92102</v>
      </c>
      <c r="B12" s="48">
        <f>Carteira!C11</f>
        <v/>
      </c>
      <c r="C12" s="49">
        <f>Carteira!L11</f>
        <v/>
      </c>
      <c r="D12" s="49">
        <f>$C12*(Parâmetros!$B$15*(YEAR(WBS!$C$91)=2027)*(MONTH(WBS!$C$91)=1)+(1-Parâmetros!$B$15)*MAX(0,MIN(WBS!$D$91,EDATE(DATE(2027,1,1),1))-MAX(WBS!$C$91,DATE(2027,1,1)))/WBS!$B$91)</f>
        <v/>
      </c>
      <c r="E12" s="49">
        <f>$C12*(Parâmetros!$B$15*(YEAR(WBS!$C$91)=2027)*(MONTH(WBS!$C$91)=2)+(1-Parâmetros!$B$15)*MAX(0,MIN(WBS!$D$91,EDATE(DATE(2027,2,1),1))-MAX(WBS!$C$91,DATE(2027,2,1)))/WBS!$B$91)</f>
        <v/>
      </c>
      <c r="F12" s="49">
        <f>$C12*(Parâmetros!$B$15*(YEAR(WBS!$C$91)=2027)*(MONTH(WBS!$C$91)=3)+(1-Parâmetros!$B$15)*MAX(0,MIN(WBS!$D$91,EDATE(DATE(2027,3,1),1))-MAX(WBS!$C$91,DATE(2027,3,1)))/WBS!$B$91)</f>
        <v/>
      </c>
      <c r="G12" s="49">
        <f>$C12*(Parâmetros!$B$15*(YEAR(WBS!$C$91)=2027)*(MONTH(WBS!$C$91)=4)+(1-Parâmetros!$B$15)*MAX(0,MIN(WBS!$D$91,EDATE(DATE(2027,4,1),1))-MAX(WBS!$C$91,DATE(2027,4,1)))/WBS!$B$91)</f>
        <v/>
      </c>
      <c r="H12" s="49">
        <f>$C12*(Parâmetros!$B$15*(YEAR(WBS!$C$91)=2027)*(MONTH(WBS!$C$91)=5)+(1-Parâmetros!$B$15)*MAX(0,MIN(WBS!$D$91,EDATE(DATE(2027,5,1),1))-MAX(WBS!$C$91,DATE(2027,5,1)))/WBS!$B$91)</f>
        <v/>
      </c>
      <c r="I12" s="49">
        <f>$C12*(Parâmetros!$B$15*(YEAR(WBS!$C$91)=2027)*(MONTH(WBS!$C$91)=6)+(1-Parâmetros!$B$15)*MAX(0,MIN(WBS!$D$91,EDATE(DATE(2027,6,1),1))-MAX(WBS!$C$91,DATE(2027,6,1)))/WBS!$B$91)</f>
        <v/>
      </c>
      <c r="J12" s="49">
        <f>$C12*(Parâmetros!$B$15*(YEAR(WBS!$C$91)=2027)*(MONTH(WBS!$C$91)=7)+(1-Parâmetros!$B$15)*MAX(0,MIN(WBS!$D$91,EDATE(DATE(2027,7,1),1))-MAX(WBS!$C$91,DATE(2027,7,1)))/WBS!$B$91)</f>
        <v/>
      </c>
      <c r="K12" s="49">
        <f>$C12*(Parâmetros!$B$15*(YEAR(WBS!$C$91)=2027)*(MONTH(WBS!$C$91)=8)+(1-Parâmetros!$B$15)*MAX(0,MIN(WBS!$D$91,EDATE(DATE(2027,8,1),1))-MAX(WBS!$C$91,DATE(2027,8,1)))/WBS!$B$91)</f>
        <v/>
      </c>
      <c r="L12" s="49">
        <f>$C12*(Parâmetros!$B$15*(YEAR(WBS!$C$91)=2027)*(MONTH(WBS!$C$91)=9)+(1-Parâmetros!$B$15)*MAX(0,MIN(WBS!$D$91,EDATE(DATE(2027,9,1),1))-MAX(WBS!$C$91,DATE(2027,9,1)))/WBS!$B$91)</f>
        <v/>
      </c>
      <c r="M12" s="49">
        <f>$C12*(Parâmetros!$B$15*(YEAR(WBS!$C$91)=2027)*(MONTH(WBS!$C$91)=10)+(1-Parâmetros!$B$15)*MAX(0,MIN(WBS!$D$91,EDATE(DATE(2027,10,1),1))-MAX(WBS!$C$91,DATE(2027,10,1)))/WBS!$B$91)</f>
        <v/>
      </c>
      <c r="N12" s="49">
        <f>$C12*(Parâmetros!$B$15*(YEAR(WBS!$C$91)=2027)*(MONTH(WBS!$C$91)=11)+(1-Parâmetros!$B$15)*MAX(0,MIN(WBS!$D$91,EDATE(DATE(2027,11,1),1))-MAX(WBS!$C$91,DATE(2027,11,1)))/WBS!$B$91)</f>
        <v/>
      </c>
      <c r="O12" s="49">
        <f>$C12*(Parâmetros!$B$15*(YEAR(WBS!$C$91)=2027)*(MONTH(WBS!$C$91)=12)+(1-Parâmetros!$B$15)*MAX(0,MIN(WBS!$D$91,EDATE(DATE(2027,12,1),1))-MAX(WBS!$C$91,DATE(2027,12,1)))/WBS!$B$91)</f>
        <v/>
      </c>
      <c r="P12" s="49">
        <f>SUM(D12:O12)</f>
        <v/>
      </c>
      <c r="Q12" s="47">
        <f>IF(ABS(P12-C12)&lt;0.5,"ok","DIVERGE")</f>
        <v/>
      </c>
    </row>
    <row r="13">
      <c r="A13" s="47" t="n">
        <v>70838</v>
      </c>
      <c r="B13" s="48">
        <f>Carteira!C12</f>
        <v/>
      </c>
      <c r="C13" s="49">
        <f>Carteira!L12</f>
        <v/>
      </c>
      <c r="D13" s="49">
        <f>$C13*(Parâmetros!$B$15*(YEAR(WBS!$C$102)=2027)*(MONTH(WBS!$C$102)=1)+(1-Parâmetros!$B$15)*MAX(0,MIN(WBS!$D$102,EDATE(DATE(2027,1,1),1))-MAX(WBS!$C$102,DATE(2027,1,1)))/WBS!$B$102)</f>
        <v/>
      </c>
      <c r="E13" s="49">
        <f>$C13*(Parâmetros!$B$15*(YEAR(WBS!$C$102)=2027)*(MONTH(WBS!$C$102)=2)+(1-Parâmetros!$B$15)*MAX(0,MIN(WBS!$D$102,EDATE(DATE(2027,2,1),1))-MAX(WBS!$C$102,DATE(2027,2,1)))/WBS!$B$102)</f>
        <v/>
      </c>
      <c r="F13" s="49">
        <f>$C13*(Parâmetros!$B$15*(YEAR(WBS!$C$102)=2027)*(MONTH(WBS!$C$102)=3)+(1-Parâmetros!$B$15)*MAX(0,MIN(WBS!$D$102,EDATE(DATE(2027,3,1),1))-MAX(WBS!$C$102,DATE(2027,3,1)))/WBS!$B$102)</f>
        <v/>
      </c>
      <c r="G13" s="49">
        <f>$C13*(Parâmetros!$B$15*(YEAR(WBS!$C$102)=2027)*(MONTH(WBS!$C$102)=4)+(1-Parâmetros!$B$15)*MAX(0,MIN(WBS!$D$102,EDATE(DATE(2027,4,1),1))-MAX(WBS!$C$102,DATE(2027,4,1)))/WBS!$B$102)</f>
        <v/>
      </c>
      <c r="H13" s="49">
        <f>$C13*(Parâmetros!$B$15*(YEAR(WBS!$C$102)=2027)*(MONTH(WBS!$C$102)=5)+(1-Parâmetros!$B$15)*MAX(0,MIN(WBS!$D$102,EDATE(DATE(2027,5,1),1))-MAX(WBS!$C$102,DATE(2027,5,1)))/WBS!$B$102)</f>
        <v/>
      </c>
      <c r="I13" s="49">
        <f>$C13*(Parâmetros!$B$15*(YEAR(WBS!$C$102)=2027)*(MONTH(WBS!$C$102)=6)+(1-Parâmetros!$B$15)*MAX(0,MIN(WBS!$D$102,EDATE(DATE(2027,6,1),1))-MAX(WBS!$C$102,DATE(2027,6,1)))/WBS!$B$102)</f>
        <v/>
      </c>
      <c r="J13" s="49">
        <f>$C13*(Parâmetros!$B$15*(YEAR(WBS!$C$102)=2027)*(MONTH(WBS!$C$102)=7)+(1-Parâmetros!$B$15)*MAX(0,MIN(WBS!$D$102,EDATE(DATE(2027,7,1),1))-MAX(WBS!$C$102,DATE(2027,7,1)))/WBS!$B$102)</f>
        <v/>
      </c>
      <c r="K13" s="49">
        <f>$C13*(Parâmetros!$B$15*(YEAR(WBS!$C$102)=2027)*(MONTH(WBS!$C$102)=8)+(1-Parâmetros!$B$15)*MAX(0,MIN(WBS!$D$102,EDATE(DATE(2027,8,1),1))-MAX(WBS!$C$102,DATE(2027,8,1)))/WBS!$B$102)</f>
        <v/>
      </c>
      <c r="L13" s="49">
        <f>$C13*(Parâmetros!$B$15*(YEAR(WBS!$C$102)=2027)*(MONTH(WBS!$C$102)=9)+(1-Parâmetros!$B$15)*MAX(0,MIN(WBS!$D$102,EDATE(DATE(2027,9,1),1))-MAX(WBS!$C$102,DATE(2027,9,1)))/WBS!$B$102)</f>
        <v/>
      </c>
      <c r="M13" s="49">
        <f>$C13*(Parâmetros!$B$15*(YEAR(WBS!$C$102)=2027)*(MONTH(WBS!$C$102)=10)+(1-Parâmetros!$B$15)*MAX(0,MIN(WBS!$D$102,EDATE(DATE(2027,10,1),1))-MAX(WBS!$C$102,DATE(2027,10,1)))/WBS!$B$102)</f>
        <v/>
      </c>
      <c r="N13" s="49">
        <f>$C13*(Parâmetros!$B$15*(YEAR(WBS!$C$102)=2027)*(MONTH(WBS!$C$102)=11)+(1-Parâmetros!$B$15)*MAX(0,MIN(WBS!$D$102,EDATE(DATE(2027,11,1),1))-MAX(WBS!$C$102,DATE(2027,11,1)))/WBS!$B$102)</f>
        <v/>
      </c>
      <c r="O13" s="49">
        <f>$C13*(Parâmetros!$B$15*(YEAR(WBS!$C$102)=2027)*(MONTH(WBS!$C$102)=12)+(1-Parâmetros!$B$15)*MAX(0,MIN(WBS!$D$102,EDATE(DATE(2027,12,1),1))-MAX(WBS!$C$102,DATE(2027,12,1)))/WBS!$B$102)</f>
        <v/>
      </c>
      <c r="P13" s="49">
        <f>SUM(D13:O13)</f>
        <v/>
      </c>
      <c r="Q13" s="47">
        <f>IF(ABS(P13-C13)&lt;0.5,"ok","DIVERGE")</f>
        <v/>
      </c>
    </row>
    <row r="14">
      <c r="A14" s="47" t="n">
        <v>70978</v>
      </c>
      <c r="B14" s="48">
        <f>Carteira!C13</f>
        <v/>
      </c>
      <c r="C14" s="49">
        <f>Carteira!L13</f>
        <v/>
      </c>
      <c r="D14" s="49">
        <f>$C14*(Parâmetros!$B$15*(YEAR(WBS!$C$113)=2027)*(MONTH(WBS!$C$113)=1)+(1-Parâmetros!$B$15)*MAX(0,MIN(WBS!$D$113,EDATE(DATE(2027,1,1),1))-MAX(WBS!$C$113,DATE(2027,1,1)))/WBS!$B$113)</f>
        <v/>
      </c>
      <c r="E14" s="49">
        <f>$C14*(Parâmetros!$B$15*(YEAR(WBS!$C$113)=2027)*(MONTH(WBS!$C$113)=2)+(1-Parâmetros!$B$15)*MAX(0,MIN(WBS!$D$113,EDATE(DATE(2027,2,1),1))-MAX(WBS!$C$113,DATE(2027,2,1)))/WBS!$B$113)</f>
        <v/>
      </c>
      <c r="F14" s="49">
        <f>$C14*(Parâmetros!$B$15*(YEAR(WBS!$C$113)=2027)*(MONTH(WBS!$C$113)=3)+(1-Parâmetros!$B$15)*MAX(0,MIN(WBS!$D$113,EDATE(DATE(2027,3,1),1))-MAX(WBS!$C$113,DATE(2027,3,1)))/WBS!$B$113)</f>
        <v/>
      </c>
      <c r="G14" s="49">
        <f>$C14*(Parâmetros!$B$15*(YEAR(WBS!$C$113)=2027)*(MONTH(WBS!$C$113)=4)+(1-Parâmetros!$B$15)*MAX(0,MIN(WBS!$D$113,EDATE(DATE(2027,4,1),1))-MAX(WBS!$C$113,DATE(2027,4,1)))/WBS!$B$113)</f>
        <v/>
      </c>
      <c r="H14" s="49">
        <f>$C14*(Parâmetros!$B$15*(YEAR(WBS!$C$113)=2027)*(MONTH(WBS!$C$113)=5)+(1-Parâmetros!$B$15)*MAX(0,MIN(WBS!$D$113,EDATE(DATE(2027,5,1),1))-MAX(WBS!$C$113,DATE(2027,5,1)))/WBS!$B$113)</f>
        <v/>
      </c>
      <c r="I14" s="49">
        <f>$C14*(Parâmetros!$B$15*(YEAR(WBS!$C$113)=2027)*(MONTH(WBS!$C$113)=6)+(1-Parâmetros!$B$15)*MAX(0,MIN(WBS!$D$113,EDATE(DATE(2027,6,1),1))-MAX(WBS!$C$113,DATE(2027,6,1)))/WBS!$B$113)</f>
        <v/>
      </c>
      <c r="J14" s="49">
        <f>$C14*(Parâmetros!$B$15*(YEAR(WBS!$C$113)=2027)*(MONTH(WBS!$C$113)=7)+(1-Parâmetros!$B$15)*MAX(0,MIN(WBS!$D$113,EDATE(DATE(2027,7,1),1))-MAX(WBS!$C$113,DATE(2027,7,1)))/WBS!$B$113)</f>
        <v/>
      </c>
      <c r="K14" s="49">
        <f>$C14*(Parâmetros!$B$15*(YEAR(WBS!$C$113)=2027)*(MONTH(WBS!$C$113)=8)+(1-Parâmetros!$B$15)*MAX(0,MIN(WBS!$D$113,EDATE(DATE(2027,8,1),1))-MAX(WBS!$C$113,DATE(2027,8,1)))/WBS!$B$113)</f>
        <v/>
      </c>
      <c r="L14" s="49">
        <f>$C14*(Parâmetros!$B$15*(YEAR(WBS!$C$113)=2027)*(MONTH(WBS!$C$113)=9)+(1-Parâmetros!$B$15)*MAX(0,MIN(WBS!$D$113,EDATE(DATE(2027,9,1),1))-MAX(WBS!$C$113,DATE(2027,9,1)))/WBS!$B$113)</f>
        <v/>
      </c>
      <c r="M14" s="49">
        <f>$C14*(Parâmetros!$B$15*(YEAR(WBS!$C$113)=2027)*(MONTH(WBS!$C$113)=10)+(1-Parâmetros!$B$15)*MAX(0,MIN(WBS!$D$113,EDATE(DATE(2027,10,1),1))-MAX(WBS!$C$113,DATE(2027,10,1)))/WBS!$B$113)</f>
        <v/>
      </c>
      <c r="N14" s="49">
        <f>$C14*(Parâmetros!$B$15*(YEAR(WBS!$C$113)=2027)*(MONTH(WBS!$C$113)=11)+(1-Parâmetros!$B$15)*MAX(0,MIN(WBS!$D$113,EDATE(DATE(2027,11,1),1))-MAX(WBS!$C$113,DATE(2027,11,1)))/WBS!$B$113)</f>
        <v/>
      </c>
      <c r="O14" s="49">
        <f>$C14*(Parâmetros!$B$15*(YEAR(WBS!$C$113)=2027)*(MONTH(WBS!$C$113)=12)+(1-Parâmetros!$B$15)*MAX(0,MIN(WBS!$D$113,EDATE(DATE(2027,12,1),1))-MAX(WBS!$C$113,DATE(2027,12,1)))/WBS!$B$113)</f>
        <v/>
      </c>
      <c r="P14" s="49">
        <f>SUM(D14:O14)</f>
        <v/>
      </c>
      <c r="Q14" s="47">
        <f>IF(ABS(P14-C14)&lt;0.5,"ok","DIVERGE")</f>
        <v/>
      </c>
    </row>
    <row r="15">
      <c r="A15" s="47" t="n">
        <v>89249</v>
      </c>
      <c r="B15" s="48">
        <f>Carteira!C14</f>
        <v/>
      </c>
      <c r="C15" s="49">
        <f>Carteira!L14</f>
        <v/>
      </c>
      <c r="D15" s="49">
        <f>$C15*(Parâmetros!$B$15*(YEAR(WBS!$C$124)=2027)*(MONTH(WBS!$C$124)=1)+(1-Parâmetros!$B$15)*MAX(0,MIN(WBS!$D$124,EDATE(DATE(2027,1,1),1))-MAX(WBS!$C$124,DATE(2027,1,1)))/WBS!$B$124)</f>
        <v/>
      </c>
      <c r="E15" s="49">
        <f>$C15*(Parâmetros!$B$15*(YEAR(WBS!$C$124)=2027)*(MONTH(WBS!$C$124)=2)+(1-Parâmetros!$B$15)*MAX(0,MIN(WBS!$D$124,EDATE(DATE(2027,2,1),1))-MAX(WBS!$C$124,DATE(2027,2,1)))/WBS!$B$124)</f>
        <v/>
      </c>
      <c r="F15" s="49">
        <f>$C15*(Parâmetros!$B$15*(YEAR(WBS!$C$124)=2027)*(MONTH(WBS!$C$124)=3)+(1-Parâmetros!$B$15)*MAX(0,MIN(WBS!$D$124,EDATE(DATE(2027,3,1),1))-MAX(WBS!$C$124,DATE(2027,3,1)))/WBS!$B$124)</f>
        <v/>
      </c>
      <c r="G15" s="49">
        <f>$C15*(Parâmetros!$B$15*(YEAR(WBS!$C$124)=2027)*(MONTH(WBS!$C$124)=4)+(1-Parâmetros!$B$15)*MAX(0,MIN(WBS!$D$124,EDATE(DATE(2027,4,1),1))-MAX(WBS!$C$124,DATE(2027,4,1)))/WBS!$B$124)</f>
        <v/>
      </c>
      <c r="H15" s="49">
        <f>$C15*(Parâmetros!$B$15*(YEAR(WBS!$C$124)=2027)*(MONTH(WBS!$C$124)=5)+(1-Parâmetros!$B$15)*MAX(0,MIN(WBS!$D$124,EDATE(DATE(2027,5,1),1))-MAX(WBS!$C$124,DATE(2027,5,1)))/WBS!$B$124)</f>
        <v/>
      </c>
      <c r="I15" s="49">
        <f>$C15*(Parâmetros!$B$15*(YEAR(WBS!$C$124)=2027)*(MONTH(WBS!$C$124)=6)+(1-Parâmetros!$B$15)*MAX(0,MIN(WBS!$D$124,EDATE(DATE(2027,6,1),1))-MAX(WBS!$C$124,DATE(2027,6,1)))/WBS!$B$124)</f>
        <v/>
      </c>
      <c r="J15" s="49">
        <f>$C15*(Parâmetros!$B$15*(YEAR(WBS!$C$124)=2027)*(MONTH(WBS!$C$124)=7)+(1-Parâmetros!$B$15)*MAX(0,MIN(WBS!$D$124,EDATE(DATE(2027,7,1),1))-MAX(WBS!$C$124,DATE(2027,7,1)))/WBS!$B$124)</f>
        <v/>
      </c>
      <c r="K15" s="49">
        <f>$C15*(Parâmetros!$B$15*(YEAR(WBS!$C$124)=2027)*(MONTH(WBS!$C$124)=8)+(1-Parâmetros!$B$15)*MAX(0,MIN(WBS!$D$124,EDATE(DATE(2027,8,1),1))-MAX(WBS!$C$124,DATE(2027,8,1)))/WBS!$B$124)</f>
        <v/>
      </c>
      <c r="L15" s="49">
        <f>$C15*(Parâmetros!$B$15*(YEAR(WBS!$C$124)=2027)*(MONTH(WBS!$C$124)=9)+(1-Parâmetros!$B$15)*MAX(0,MIN(WBS!$D$124,EDATE(DATE(2027,9,1),1))-MAX(WBS!$C$124,DATE(2027,9,1)))/WBS!$B$124)</f>
        <v/>
      </c>
      <c r="M15" s="49">
        <f>$C15*(Parâmetros!$B$15*(YEAR(WBS!$C$124)=2027)*(MONTH(WBS!$C$124)=10)+(1-Parâmetros!$B$15)*MAX(0,MIN(WBS!$D$124,EDATE(DATE(2027,10,1),1))-MAX(WBS!$C$124,DATE(2027,10,1)))/WBS!$B$124)</f>
        <v/>
      </c>
      <c r="N15" s="49">
        <f>$C15*(Parâmetros!$B$15*(YEAR(WBS!$C$124)=2027)*(MONTH(WBS!$C$124)=11)+(1-Parâmetros!$B$15)*MAX(0,MIN(WBS!$D$124,EDATE(DATE(2027,11,1),1))-MAX(WBS!$C$124,DATE(2027,11,1)))/WBS!$B$124)</f>
        <v/>
      </c>
      <c r="O15" s="49">
        <f>$C15*(Parâmetros!$B$15*(YEAR(WBS!$C$124)=2027)*(MONTH(WBS!$C$124)=12)+(1-Parâmetros!$B$15)*MAX(0,MIN(WBS!$D$124,EDATE(DATE(2027,12,1),1))-MAX(WBS!$C$124,DATE(2027,12,1)))/WBS!$B$124)</f>
        <v/>
      </c>
      <c r="P15" s="49">
        <f>SUM(D15:O15)</f>
        <v/>
      </c>
      <c r="Q15" s="47">
        <f>IF(ABS(P15-C15)&lt;0.5,"ok","DIVERGE")</f>
        <v/>
      </c>
    </row>
    <row r="16">
      <c r="A16" s="47" t="n">
        <v>89307</v>
      </c>
      <c r="B16" s="48">
        <f>Carteira!C15</f>
        <v/>
      </c>
      <c r="C16" s="49">
        <f>Carteira!L15</f>
        <v/>
      </c>
      <c r="D16" s="49">
        <f>$C16*(Parâmetros!$B$15*(YEAR(WBS!$C$135)=2027)*(MONTH(WBS!$C$135)=1)+(1-Parâmetros!$B$15)*MAX(0,MIN(WBS!$D$135,EDATE(DATE(2027,1,1),1))-MAX(WBS!$C$135,DATE(2027,1,1)))/WBS!$B$135)</f>
        <v/>
      </c>
      <c r="E16" s="49">
        <f>$C16*(Parâmetros!$B$15*(YEAR(WBS!$C$135)=2027)*(MONTH(WBS!$C$135)=2)+(1-Parâmetros!$B$15)*MAX(0,MIN(WBS!$D$135,EDATE(DATE(2027,2,1),1))-MAX(WBS!$C$135,DATE(2027,2,1)))/WBS!$B$135)</f>
        <v/>
      </c>
      <c r="F16" s="49">
        <f>$C16*(Parâmetros!$B$15*(YEAR(WBS!$C$135)=2027)*(MONTH(WBS!$C$135)=3)+(1-Parâmetros!$B$15)*MAX(0,MIN(WBS!$D$135,EDATE(DATE(2027,3,1),1))-MAX(WBS!$C$135,DATE(2027,3,1)))/WBS!$B$135)</f>
        <v/>
      </c>
      <c r="G16" s="49">
        <f>$C16*(Parâmetros!$B$15*(YEAR(WBS!$C$135)=2027)*(MONTH(WBS!$C$135)=4)+(1-Parâmetros!$B$15)*MAX(0,MIN(WBS!$D$135,EDATE(DATE(2027,4,1),1))-MAX(WBS!$C$135,DATE(2027,4,1)))/WBS!$B$135)</f>
        <v/>
      </c>
      <c r="H16" s="49">
        <f>$C16*(Parâmetros!$B$15*(YEAR(WBS!$C$135)=2027)*(MONTH(WBS!$C$135)=5)+(1-Parâmetros!$B$15)*MAX(0,MIN(WBS!$D$135,EDATE(DATE(2027,5,1),1))-MAX(WBS!$C$135,DATE(2027,5,1)))/WBS!$B$135)</f>
        <v/>
      </c>
      <c r="I16" s="49">
        <f>$C16*(Parâmetros!$B$15*(YEAR(WBS!$C$135)=2027)*(MONTH(WBS!$C$135)=6)+(1-Parâmetros!$B$15)*MAX(0,MIN(WBS!$D$135,EDATE(DATE(2027,6,1),1))-MAX(WBS!$C$135,DATE(2027,6,1)))/WBS!$B$135)</f>
        <v/>
      </c>
      <c r="J16" s="49">
        <f>$C16*(Parâmetros!$B$15*(YEAR(WBS!$C$135)=2027)*(MONTH(WBS!$C$135)=7)+(1-Parâmetros!$B$15)*MAX(0,MIN(WBS!$D$135,EDATE(DATE(2027,7,1),1))-MAX(WBS!$C$135,DATE(2027,7,1)))/WBS!$B$135)</f>
        <v/>
      </c>
      <c r="K16" s="49">
        <f>$C16*(Parâmetros!$B$15*(YEAR(WBS!$C$135)=2027)*(MONTH(WBS!$C$135)=8)+(1-Parâmetros!$B$15)*MAX(0,MIN(WBS!$D$135,EDATE(DATE(2027,8,1),1))-MAX(WBS!$C$135,DATE(2027,8,1)))/WBS!$B$135)</f>
        <v/>
      </c>
      <c r="L16" s="49">
        <f>$C16*(Parâmetros!$B$15*(YEAR(WBS!$C$135)=2027)*(MONTH(WBS!$C$135)=9)+(1-Parâmetros!$B$15)*MAX(0,MIN(WBS!$D$135,EDATE(DATE(2027,9,1),1))-MAX(WBS!$C$135,DATE(2027,9,1)))/WBS!$B$135)</f>
        <v/>
      </c>
      <c r="M16" s="49">
        <f>$C16*(Parâmetros!$B$15*(YEAR(WBS!$C$135)=2027)*(MONTH(WBS!$C$135)=10)+(1-Parâmetros!$B$15)*MAX(0,MIN(WBS!$D$135,EDATE(DATE(2027,10,1),1))-MAX(WBS!$C$135,DATE(2027,10,1)))/WBS!$B$135)</f>
        <v/>
      </c>
      <c r="N16" s="49">
        <f>$C16*(Parâmetros!$B$15*(YEAR(WBS!$C$135)=2027)*(MONTH(WBS!$C$135)=11)+(1-Parâmetros!$B$15)*MAX(0,MIN(WBS!$D$135,EDATE(DATE(2027,11,1),1))-MAX(WBS!$C$135,DATE(2027,11,1)))/WBS!$B$135)</f>
        <v/>
      </c>
      <c r="O16" s="49">
        <f>$C16*(Parâmetros!$B$15*(YEAR(WBS!$C$135)=2027)*(MONTH(WBS!$C$135)=12)+(1-Parâmetros!$B$15)*MAX(0,MIN(WBS!$D$135,EDATE(DATE(2027,12,1),1))-MAX(WBS!$C$135,DATE(2027,12,1)))/WBS!$B$135)</f>
        <v/>
      </c>
      <c r="P16" s="49">
        <f>SUM(D16:O16)</f>
        <v/>
      </c>
      <c r="Q16" s="47">
        <f>IF(ABS(P16-C16)&lt;0.5,"ok","DIVERGE")</f>
        <v/>
      </c>
    </row>
    <row r="17">
      <c r="B17" s="50" t="inlineStr">
        <is>
          <t>Total mensal – curva WBS</t>
        </is>
      </c>
      <c r="C17" s="51">
        <f>SUM(C5:C16)</f>
        <v/>
      </c>
      <c r="D17" s="51">
        <f>SUM(D5:D16)</f>
        <v/>
      </c>
      <c r="E17" s="51">
        <f>SUM(E5:E16)</f>
        <v/>
      </c>
      <c r="F17" s="51">
        <f>SUM(F5:F16)</f>
        <v/>
      </c>
      <c r="G17" s="51">
        <f>SUM(G5:G16)</f>
        <v/>
      </c>
      <c r="H17" s="51">
        <f>SUM(H5:H16)</f>
        <v/>
      </c>
      <c r="I17" s="51">
        <f>SUM(I5:I16)</f>
        <v/>
      </c>
      <c r="J17" s="51">
        <f>SUM(J5:J16)</f>
        <v/>
      </c>
      <c r="K17" s="51">
        <f>SUM(K5:K16)</f>
        <v/>
      </c>
      <c r="L17" s="51">
        <f>SUM(L5:L16)</f>
        <v/>
      </c>
      <c r="M17" s="51">
        <f>SUM(M5:M16)</f>
        <v/>
      </c>
      <c r="N17" s="51">
        <f>SUM(N5:N16)</f>
        <v/>
      </c>
      <c r="O17" s="51">
        <f>SUM(O5:O16)</f>
        <v/>
      </c>
      <c r="P17" s="51">
        <f>SUM(P5:P16)</f>
        <v/>
      </c>
    </row>
    <row r="18">
      <c r="B18" s="50" t="inlineStr">
        <is>
          <t>Acumulado – curva WBS</t>
        </is>
      </c>
      <c r="D18" s="52">
        <f>SUM($D17:D17)</f>
        <v/>
      </c>
      <c r="E18" s="52">
        <f>SUM($D17:E17)</f>
        <v/>
      </c>
      <c r="F18" s="52">
        <f>SUM($D17:F17)</f>
        <v/>
      </c>
      <c r="G18" s="52">
        <f>SUM($D17:G17)</f>
        <v/>
      </c>
      <c r="H18" s="52">
        <f>SUM($D17:H17)</f>
        <v/>
      </c>
      <c r="I18" s="52">
        <f>SUM($D17:I17)</f>
        <v/>
      </c>
      <c r="J18" s="52">
        <f>SUM($D17:J17)</f>
        <v/>
      </c>
      <c r="K18" s="52">
        <f>SUM($D17:K17)</f>
        <v/>
      </c>
      <c r="L18" s="52">
        <f>SUM($D17:L17)</f>
        <v/>
      </c>
      <c r="M18" s="52">
        <f>SUM($D17:M17)</f>
        <v/>
      </c>
      <c r="N18" s="52">
        <f>SUM($D17:N17)</f>
        <v/>
      </c>
      <c r="O18" s="52">
        <f>SUM($D17:O17)</f>
        <v/>
      </c>
    </row>
    <row r="20">
      <c r="A20" s="53" t="inlineStr">
        <is>
          <t>Referência: cadastro CAPEX "Mensalização 08.10" (rateio linear)</t>
        </is>
      </c>
    </row>
    <row r="21" ht="24" customHeight="1">
      <c r="A21" s="1" t="inlineStr">
        <is>
          <t>SIGCO</t>
        </is>
      </c>
      <c r="B21" s="1" t="inlineStr">
        <is>
          <t>Projeto</t>
        </is>
      </c>
      <c r="C21" s="1" t="inlineStr">
        <is>
          <t>Total</t>
        </is>
      </c>
      <c r="D21" s="1" t="inlineStr">
        <is>
          <t>Jan</t>
        </is>
      </c>
      <c r="E21" s="1" t="inlineStr">
        <is>
          <t>Fev</t>
        </is>
      </c>
      <c r="F21" s="1" t="inlineStr">
        <is>
          <t>Mar</t>
        </is>
      </c>
      <c r="G21" s="1" t="inlineStr">
        <is>
          <t>Abr</t>
        </is>
      </c>
      <c r="H21" s="1" t="inlineStr">
        <is>
          <t>Mai</t>
        </is>
      </c>
      <c r="I21" s="1" t="inlineStr">
        <is>
          <t>Jun</t>
        </is>
      </c>
      <c r="J21" s="1" t="inlineStr">
        <is>
          <t>Jul</t>
        </is>
      </c>
      <c r="K21" s="1" t="inlineStr">
        <is>
          <t>Ago</t>
        </is>
      </c>
      <c r="L21" s="1" t="inlineStr">
        <is>
          <t>Set</t>
        </is>
      </c>
      <c r="M21" s="1" t="inlineStr">
        <is>
          <t>Out</t>
        </is>
      </c>
      <c r="N21" s="1" t="inlineStr">
        <is>
          <t>Nov</t>
        </is>
      </c>
      <c r="O21" s="1" t="inlineStr">
        <is>
          <t>Dez</t>
        </is>
      </c>
      <c r="P21" s="1" t="inlineStr">
        <is>
          <t>Total</t>
        </is>
      </c>
      <c r="Q21" s="1" t="inlineStr"/>
    </row>
    <row r="22">
      <c r="A22" s="54" t="n">
        <v>90811</v>
      </c>
      <c r="B22" s="55">
        <f>Carteira!C4</f>
        <v/>
      </c>
      <c r="C22" s="56">
        <f>SUM(D22:O22)</f>
        <v/>
      </c>
      <c r="D22" s="56" t="n">
        <v>143320.11</v>
      </c>
      <c r="E22" s="56" t="n">
        <v>143320.11</v>
      </c>
      <c r="F22" s="56" t="n">
        <v>143320.11</v>
      </c>
      <c r="G22" s="56" t="n">
        <v>143320.11</v>
      </c>
      <c r="H22" s="56" t="n">
        <v>163760.56</v>
      </c>
      <c r="I22" s="56" t="n">
        <v>163760.56</v>
      </c>
      <c r="J22" s="56" t="n">
        <v>163760.56</v>
      </c>
      <c r="K22" s="56" t="n">
        <v>163760.37</v>
      </c>
      <c r="L22" s="56" t="n">
        <v>143320.11</v>
      </c>
      <c r="M22" s="56" t="n">
        <v>143320.11</v>
      </c>
      <c r="N22" s="56" t="n">
        <v>143320.11</v>
      </c>
      <c r="O22" s="56" t="n">
        <v>143322</v>
      </c>
      <c r="P22" s="56">
        <f>SUM(D22:O22)</f>
        <v/>
      </c>
    </row>
    <row r="23">
      <c r="A23" s="54" t="n">
        <v>91979</v>
      </c>
      <c r="B23" s="55">
        <f>Carteira!C5</f>
        <v/>
      </c>
      <c r="C23" s="56">
        <f>SUM(D23:O23)</f>
        <v/>
      </c>
      <c r="D23" s="56" t="n">
        <v>19964.907</v>
      </c>
      <c r="E23" s="56" t="n">
        <v>19964.907</v>
      </c>
      <c r="F23" s="56" t="n">
        <v>19964.907</v>
      </c>
      <c r="G23" s="56" t="n">
        <v>19964.907</v>
      </c>
      <c r="H23" s="56" t="n">
        <v>19964.907</v>
      </c>
      <c r="I23" s="56" t="n">
        <v>19964.907</v>
      </c>
      <c r="J23" s="56" t="n">
        <v>19964.907</v>
      </c>
      <c r="K23" s="56" t="n">
        <v>19964.907</v>
      </c>
      <c r="L23" s="56" t="n">
        <v>19964.907</v>
      </c>
      <c r="M23" s="56" t="n">
        <v>19964.907</v>
      </c>
      <c r="N23" s="56" t="n">
        <v>19964.907</v>
      </c>
      <c r="O23" s="56" t="n">
        <v>19967.793</v>
      </c>
      <c r="P23" s="56">
        <f>SUM(D23:O23)</f>
        <v/>
      </c>
    </row>
    <row r="24">
      <c r="A24" s="54" t="n">
        <v>92118</v>
      </c>
      <c r="B24" s="55">
        <f>Carteira!C6</f>
        <v/>
      </c>
      <c r="C24" s="56">
        <f>SUM(D24:O24)</f>
        <v/>
      </c>
      <c r="D24" s="56" t="n">
        <v>9227.8374</v>
      </c>
      <c r="E24" s="56" t="n">
        <v>9227.8374</v>
      </c>
      <c r="F24" s="56" t="n">
        <v>9227.8374</v>
      </c>
      <c r="G24" s="56" t="n">
        <v>9227.8374</v>
      </c>
      <c r="H24" s="56" t="n">
        <v>9227.8374</v>
      </c>
      <c r="I24" s="56" t="n">
        <v>9227.8374</v>
      </c>
      <c r="J24" s="56" t="n">
        <v>9227.8374</v>
      </c>
      <c r="K24" s="56" t="n">
        <v>9227.8374</v>
      </c>
      <c r="L24" s="56" t="n">
        <v>9227.8374</v>
      </c>
      <c r="M24" s="56" t="n">
        <v>9227.8374</v>
      </c>
      <c r="N24" s="56" t="n">
        <v>9227.8374</v>
      </c>
      <c r="O24" s="56" t="n">
        <v>9230.0486</v>
      </c>
      <c r="P24" s="56">
        <f>SUM(D24:O24)</f>
        <v/>
      </c>
    </row>
    <row r="25">
      <c r="A25" s="54" t="n">
        <v>89267</v>
      </c>
      <c r="B25" s="55">
        <f>Carteira!C7</f>
        <v/>
      </c>
      <c r="C25" s="56">
        <f>SUM(D25:O25)</f>
        <v/>
      </c>
      <c r="D25" s="56" t="n">
        <v>66860.1076</v>
      </c>
      <c r="E25" s="56" t="n">
        <v>66860.1076</v>
      </c>
      <c r="F25" s="56" t="n">
        <v>66860.1076</v>
      </c>
      <c r="G25" s="56" t="n">
        <v>66860.1076</v>
      </c>
      <c r="H25" s="56" t="n">
        <v>66860.1076</v>
      </c>
      <c r="I25" s="56" t="n">
        <v>66860.1076</v>
      </c>
      <c r="J25" s="56" t="n">
        <v>66860.1076</v>
      </c>
      <c r="K25" s="56" t="n">
        <v>66860.1076</v>
      </c>
      <c r="L25" s="56" t="n">
        <v>66860.1076</v>
      </c>
      <c r="M25" s="56" t="n">
        <v>66860.1076</v>
      </c>
      <c r="N25" s="56" t="n">
        <v>66860.1076</v>
      </c>
      <c r="O25" s="56" t="n">
        <v>66861.14840000001</v>
      </c>
      <c r="P25" s="56">
        <f>SUM(D25:O25)</f>
        <v/>
      </c>
    </row>
    <row r="26">
      <c r="A26" s="54" t="n">
        <v>92094</v>
      </c>
      <c r="B26" s="55">
        <f>Carteira!C8</f>
        <v/>
      </c>
      <c r="C26" s="56">
        <f>SUM(D26:O26)</f>
        <v/>
      </c>
      <c r="D26" s="56" t="n">
        <v>32562.3397</v>
      </c>
      <c r="E26" s="56" t="n">
        <v>32562.3397</v>
      </c>
      <c r="F26" s="56" t="n">
        <v>32562.3397</v>
      </c>
      <c r="G26" s="56" t="n">
        <v>32562.3397</v>
      </c>
      <c r="H26" s="56" t="n">
        <v>32562.3397</v>
      </c>
      <c r="I26" s="56" t="n">
        <v>32562.3397</v>
      </c>
      <c r="J26" s="56" t="n">
        <v>32562.3397</v>
      </c>
      <c r="K26" s="56" t="n">
        <v>32562.3397</v>
      </c>
      <c r="L26" s="56" t="n">
        <v>32562.3397</v>
      </c>
      <c r="M26" s="56" t="n">
        <v>32562.3397</v>
      </c>
      <c r="N26" s="56" t="n">
        <v>32562.3397</v>
      </c>
      <c r="O26" s="56" t="n">
        <v>32564.2933</v>
      </c>
      <c r="P26" s="56">
        <f>SUM(D26:O26)</f>
        <v/>
      </c>
    </row>
    <row r="27">
      <c r="A27" s="54" t="n">
        <v>92095</v>
      </c>
      <c r="B27" s="55">
        <f>Carteira!C9</f>
        <v/>
      </c>
      <c r="C27" s="56">
        <f>SUM(D27:O27)</f>
        <v/>
      </c>
      <c r="D27" s="56" t="n">
        <v>10853.9642</v>
      </c>
      <c r="E27" s="56" t="n">
        <v>10853.9642</v>
      </c>
      <c r="F27" s="56" t="n">
        <v>10853.9642</v>
      </c>
      <c r="G27" s="56" t="n">
        <v>10853.9642</v>
      </c>
      <c r="H27" s="56" t="n">
        <v>10853.9642</v>
      </c>
      <c r="I27" s="56" t="n">
        <v>10853.9642</v>
      </c>
      <c r="J27" s="56" t="n">
        <v>10853.9642</v>
      </c>
      <c r="K27" s="56" t="n">
        <v>10853.9642</v>
      </c>
      <c r="L27" s="56" t="n">
        <v>10853.9642</v>
      </c>
      <c r="M27" s="56" t="n">
        <v>10853.9642</v>
      </c>
      <c r="N27" s="56" t="n">
        <v>10853.9642</v>
      </c>
      <c r="O27" s="56" t="n">
        <v>10856.4038</v>
      </c>
      <c r="P27" s="56">
        <f>SUM(D27:O27)</f>
        <v/>
      </c>
    </row>
    <row r="28">
      <c r="A28" s="54" t="n">
        <v>92101</v>
      </c>
      <c r="B28" s="55">
        <f>Carteira!C10</f>
        <v/>
      </c>
      <c r="C28" s="56">
        <f>SUM(D28:O28)</f>
        <v/>
      </c>
      <c r="D28" s="56" t="n">
        <v>9227.8374</v>
      </c>
      <c r="E28" s="56" t="n">
        <v>9227.8374</v>
      </c>
      <c r="F28" s="56" t="n">
        <v>9227.8374</v>
      </c>
      <c r="G28" s="56" t="n">
        <v>9227.8374</v>
      </c>
      <c r="H28" s="56" t="n">
        <v>9227.8374</v>
      </c>
      <c r="I28" s="56" t="n">
        <v>9227.8374</v>
      </c>
      <c r="J28" s="56" t="n">
        <v>9227.8374</v>
      </c>
      <c r="K28" s="56" t="n">
        <v>9227.8374</v>
      </c>
      <c r="L28" s="56" t="n">
        <v>9227.8374</v>
      </c>
      <c r="M28" s="56" t="n">
        <v>9227.8374</v>
      </c>
      <c r="N28" s="56" t="n">
        <v>9227.8374</v>
      </c>
      <c r="O28" s="56" t="n">
        <v>9230.0486</v>
      </c>
      <c r="P28" s="56">
        <f>SUM(D28:O28)</f>
        <v/>
      </c>
    </row>
    <row r="29">
      <c r="A29" s="54" t="n">
        <v>92102</v>
      </c>
      <c r="B29" s="55">
        <f>Carteira!C11</f>
        <v/>
      </c>
      <c r="C29" s="56">
        <f>SUM(D29:O29)</f>
        <v/>
      </c>
      <c r="D29" s="56" t="n">
        <v>9227.8374</v>
      </c>
      <c r="E29" s="56" t="n">
        <v>9227.8374</v>
      </c>
      <c r="F29" s="56" t="n">
        <v>9227.8374</v>
      </c>
      <c r="G29" s="56" t="n">
        <v>9227.8374</v>
      </c>
      <c r="H29" s="56" t="n">
        <v>9227.8374</v>
      </c>
      <c r="I29" s="56" t="n">
        <v>9227.8374</v>
      </c>
      <c r="J29" s="56" t="n">
        <v>9227.8374</v>
      </c>
      <c r="K29" s="56" t="n">
        <v>9227.8374</v>
      </c>
      <c r="L29" s="56" t="n">
        <v>9227.8374</v>
      </c>
      <c r="M29" s="56" t="n">
        <v>9227.8374</v>
      </c>
      <c r="N29" s="56" t="n">
        <v>9227.8374</v>
      </c>
      <c r="O29" s="56" t="n">
        <v>9230.0486</v>
      </c>
      <c r="P29" s="56">
        <f>SUM(D29:O29)</f>
        <v/>
      </c>
    </row>
    <row r="30">
      <c r="A30" s="54" t="n">
        <v>70838</v>
      </c>
      <c r="B30" s="55">
        <f>Carteira!C12</f>
        <v/>
      </c>
      <c r="C30" s="56">
        <f>SUM(D30:O30)</f>
        <v/>
      </c>
      <c r="D30" s="56" t="n">
        <v>33301.1041</v>
      </c>
      <c r="E30" s="56" t="n">
        <v>33301.1041</v>
      </c>
      <c r="F30" s="56" t="n">
        <v>33301.1041</v>
      </c>
      <c r="G30" s="56" t="n">
        <v>33301.1041</v>
      </c>
      <c r="H30" s="56" t="n">
        <v>33301.1041</v>
      </c>
      <c r="I30" s="56" t="n">
        <v>33301.1041</v>
      </c>
      <c r="J30" s="56" t="n">
        <v>33301.1041</v>
      </c>
      <c r="K30" s="56" t="n">
        <v>33301.1041</v>
      </c>
      <c r="L30" s="56" t="n">
        <v>33301.1041</v>
      </c>
      <c r="M30" s="56" t="n">
        <v>33301.1041</v>
      </c>
      <c r="N30" s="56" t="n">
        <v>33301.1041</v>
      </c>
      <c r="O30" s="56" t="n">
        <v>33302.24490000001</v>
      </c>
      <c r="P30" s="56">
        <f>SUM(D30:O30)</f>
        <v/>
      </c>
    </row>
    <row r="31">
      <c r="A31" s="54" t="n">
        <v>70978</v>
      </c>
      <c r="B31" s="55">
        <f>Carteira!C13</f>
        <v/>
      </c>
      <c r="C31" s="56">
        <f>SUM(D31:O31)</f>
        <v/>
      </c>
      <c r="D31" s="56" t="n">
        <v>33326.0441</v>
      </c>
      <c r="E31" s="56" t="n">
        <v>33326.0441</v>
      </c>
      <c r="F31" s="56" t="n">
        <v>33326.0441</v>
      </c>
      <c r="G31" s="56" t="n">
        <v>33326.0441</v>
      </c>
      <c r="H31" s="56" t="n">
        <v>33326.0441</v>
      </c>
      <c r="I31" s="56" t="n">
        <v>33326.0441</v>
      </c>
      <c r="J31" s="56" t="n">
        <v>33326.0441</v>
      </c>
      <c r="K31" s="56" t="n">
        <v>33326.0441</v>
      </c>
      <c r="L31" s="56" t="n">
        <v>33326.0441</v>
      </c>
      <c r="M31" s="56" t="n">
        <v>33326.0441</v>
      </c>
      <c r="N31" s="56" t="n">
        <v>33326.0441</v>
      </c>
      <c r="O31" s="56" t="n">
        <v>33327.28090000001</v>
      </c>
      <c r="P31" s="56">
        <f>SUM(D31:O31)</f>
        <v/>
      </c>
    </row>
    <row r="32">
      <c r="A32" s="54" t="n">
        <v>89249</v>
      </c>
      <c r="B32" s="55">
        <f>Carteira!C14</f>
        <v/>
      </c>
      <c r="C32" s="56">
        <f>SUM(D32:O32)</f>
        <v/>
      </c>
      <c r="D32" s="56" t="n">
        <v>33301.1041</v>
      </c>
      <c r="E32" s="56" t="n">
        <v>33301.1041</v>
      </c>
      <c r="F32" s="56" t="n">
        <v>33301.1041</v>
      </c>
      <c r="G32" s="56" t="n">
        <v>33301.1041</v>
      </c>
      <c r="H32" s="56" t="n">
        <v>33301.1041</v>
      </c>
      <c r="I32" s="56" t="n">
        <v>33301.1041</v>
      </c>
      <c r="J32" s="56" t="n">
        <v>33301.1041</v>
      </c>
      <c r="K32" s="56" t="n">
        <v>33301.1041</v>
      </c>
      <c r="L32" s="56" t="n">
        <v>33301.1041</v>
      </c>
      <c r="M32" s="56" t="n">
        <v>33301.1041</v>
      </c>
      <c r="N32" s="56" t="n">
        <v>33301.1041</v>
      </c>
      <c r="O32" s="56" t="n">
        <v>33302.24490000001</v>
      </c>
      <c r="P32" s="56">
        <f>SUM(D32:O32)</f>
        <v/>
      </c>
    </row>
    <row r="33">
      <c r="A33" s="54" t="n">
        <v>89307</v>
      </c>
      <c r="B33" s="55">
        <f>Carteira!C15</f>
        <v/>
      </c>
      <c r="C33" s="56">
        <f>SUM(D33:O33)</f>
        <v/>
      </c>
      <c r="D33" s="56" t="n">
        <v>27582.1419</v>
      </c>
      <c r="E33" s="56" t="n">
        <v>27582.1419</v>
      </c>
      <c r="F33" s="56" t="n">
        <v>27582.1419</v>
      </c>
      <c r="G33" s="56" t="n">
        <v>27582.1419</v>
      </c>
      <c r="H33" s="56" t="n">
        <v>27582.1419</v>
      </c>
      <c r="I33" s="56" t="n">
        <v>27582.1419</v>
      </c>
      <c r="J33" s="56" t="n">
        <v>27582.1419</v>
      </c>
      <c r="K33" s="56" t="n">
        <v>27582.1419</v>
      </c>
      <c r="L33" s="56" t="n">
        <v>27582.1419</v>
      </c>
      <c r="M33" s="56" t="n">
        <v>27582.1419</v>
      </c>
      <c r="N33" s="56" t="n">
        <v>27582.1419</v>
      </c>
      <c r="O33" s="56" t="n">
        <v>27585.4731</v>
      </c>
      <c r="P33" s="56">
        <f>SUM(D33:O33)</f>
        <v/>
      </c>
    </row>
    <row r="34">
      <c r="B34" s="50" t="inlineStr">
        <is>
          <t>Total mensal – cadastro 08.10</t>
        </is>
      </c>
      <c r="C34" s="51">
        <f>SUM(C22:C33)</f>
        <v/>
      </c>
      <c r="D34" s="51">
        <f>SUM(D22:D33)</f>
        <v/>
      </c>
      <c r="E34" s="51">
        <f>SUM(E22:E33)</f>
        <v/>
      </c>
      <c r="F34" s="51">
        <f>SUM(F22:F33)</f>
        <v/>
      </c>
      <c r="G34" s="51">
        <f>SUM(G22:G33)</f>
        <v/>
      </c>
      <c r="H34" s="51">
        <f>SUM(H22:H33)</f>
        <v/>
      </c>
      <c r="I34" s="51">
        <f>SUM(I22:I33)</f>
        <v/>
      </c>
      <c r="J34" s="51">
        <f>SUM(J22:J33)</f>
        <v/>
      </c>
      <c r="K34" s="51">
        <f>SUM(K22:K33)</f>
        <v/>
      </c>
      <c r="L34" s="51">
        <f>SUM(L22:L33)</f>
        <v/>
      </c>
      <c r="M34" s="51">
        <f>SUM(M22:M33)</f>
        <v/>
      </c>
      <c r="N34" s="51">
        <f>SUM(N22:N33)</f>
        <v/>
      </c>
      <c r="O34" s="51">
        <f>SUM(O22:O33)</f>
        <v/>
      </c>
      <c r="P34" s="51">
        <f>SUM(P22:P33)</f>
        <v/>
      </c>
    </row>
    <row r="35">
      <c r="B35" s="50" t="inlineStr">
        <is>
          <t>Diferença (curva WBS − cadastro)</t>
        </is>
      </c>
      <c r="D35" s="57">
        <f>D17-D34</f>
        <v/>
      </c>
      <c r="E35" s="57">
        <f>E17-E34</f>
        <v/>
      </c>
      <c r="F35" s="57">
        <f>F17-F34</f>
        <v/>
      </c>
      <c r="G35" s="57">
        <f>G17-G34</f>
        <v/>
      </c>
      <c r="H35" s="57">
        <f>H17-H34</f>
        <v/>
      </c>
      <c r="I35" s="57">
        <f>I17-I34</f>
        <v/>
      </c>
      <c r="J35" s="57">
        <f>J17-J34</f>
        <v/>
      </c>
      <c r="K35" s="57">
        <f>K17-K34</f>
        <v/>
      </c>
      <c r="L35" s="57">
        <f>L17-L34</f>
        <v/>
      </c>
      <c r="M35" s="57">
        <f>M17-M34</f>
        <v/>
      </c>
      <c r="N35" s="57">
        <f>N17-N34</f>
        <v/>
      </c>
      <c r="O35" s="57">
        <f>O17-O34</f>
        <v/>
      </c>
    </row>
  </sheetData>
  <mergeCells count="1">
    <mergeCell ref="A2:P2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6" customWidth="1" min="2" max="2"/>
    <col width="10" customWidth="1" min="3" max="3"/>
    <col width="11" customWidth="1" min="4" max="4"/>
    <col width="22" customWidth="1" min="5" max="5"/>
    <col width="14" customWidth="1" min="6" max="6"/>
    <col width="18" customWidth="1" min="7" max="7"/>
  </cols>
  <sheetData>
    <row r="1">
      <c r="A1" s="22" t="inlineStr">
        <is>
          <t>Equipamentos e serviços a adquirir/contratar – data necessária em campo</t>
        </is>
      </c>
    </row>
    <row r="3" ht="36" customHeight="1">
      <c r="A3" s="1" t="inlineStr">
        <is>
          <t>SIGCO</t>
        </is>
      </c>
      <c r="B3" s="1" t="inlineStr">
        <is>
          <t>Item</t>
        </is>
      </c>
      <c r="C3" s="1" t="inlineStr">
        <is>
          <t>Tensão</t>
        </is>
      </c>
      <c r="D3" s="1" t="inlineStr">
        <is>
          <t>Quantidade</t>
        </is>
      </c>
      <c r="E3" s="1" t="inlineStr">
        <is>
          <t>Data necessária (início da execução)</t>
        </is>
      </c>
      <c r="F3" s="1" t="inlineStr">
        <is>
          <t>Nº PMA/RFP</t>
        </is>
      </c>
      <c r="G3" s="1" t="inlineStr">
        <is>
          <t>Status</t>
        </is>
      </c>
    </row>
    <row r="4">
      <c r="A4" s="23" t="n">
        <v>90811</v>
      </c>
      <c r="B4" s="17" t="inlineStr">
        <is>
          <t>Regulador de tensão</t>
        </is>
      </c>
      <c r="C4" s="23" t="inlineStr">
        <is>
          <t>34,5 kV</t>
        </is>
      </c>
      <c r="D4" s="23" t="n">
        <v>3</v>
      </c>
      <c r="E4" s="24">
        <f>WBS!C14</f>
        <v/>
      </c>
      <c r="F4" s="23" t="inlineStr"/>
      <c r="G4" s="23" t="inlineStr">
        <is>
          <t>A confirmar</t>
        </is>
      </c>
    </row>
    <row r="5">
      <c r="A5" s="23" t="n">
        <v>90811</v>
      </c>
      <c r="B5" s="17" t="inlineStr">
        <is>
          <t>Religador automático</t>
        </is>
      </c>
      <c r="C5" s="23" t="inlineStr">
        <is>
          <t>34,5 kV</t>
        </is>
      </c>
      <c r="D5" s="23" t="n">
        <v>4</v>
      </c>
      <c r="E5" s="24">
        <f>WBS!C14</f>
        <v/>
      </c>
      <c r="F5" s="23" t="inlineStr"/>
      <c r="G5" s="23" t="inlineStr">
        <is>
          <t>A confirmar</t>
        </is>
      </c>
    </row>
    <row r="6">
      <c r="A6" s="23" t="n">
        <v>90811</v>
      </c>
      <c r="B6" s="17" t="inlineStr">
        <is>
          <t>Chave faca (1 N.F + 1 N.A) + poste e 0,25 km de RD MT cabo 3#1/0 AWG</t>
        </is>
      </c>
      <c r="C6" s="23" t="inlineStr">
        <is>
          <t>34,5 kV</t>
        </is>
      </c>
      <c r="D6" s="23" t="n">
        <v>1</v>
      </c>
      <c r="E6" s="24">
        <f>WBS!C14</f>
        <v/>
      </c>
      <c r="F6" s="23" t="inlineStr"/>
      <c r="G6" s="23" t="inlineStr">
        <is>
          <t>A confirmar</t>
        </is>
      </c>
    </row>
    <row r="7">
      <c r="A7" s="23" t="n">
        <v>91979</v>
      </c>
      <c r="B7" s="17" t="inlineStr">
        <is>
          <t>Religador rural</t>
        </is>
      </c>
      <c r="C7" s="23" t="inlineStr">
        <is>
          <t>34,5 kV</t>
        </is>
      </c>
      <c r="D7" s="23" t="n">
        <v>1</v>
      </c>
      <c r="E7" s="24">
        <f>WBS!C25</f>
        <v/>
      </c>
      <c r="F7" s="23" t="inlineStr"/>
      <c r="G7" s="23" t="inlineStr">
        <is>
          <t>A confirmar</t>
        </is>
      </c>
    </row>
    <row r="8">
      <c r="A8" s="23" t="n">
        <v>91979</v>
      </c>
      <c r="B8" s="17" t="inlineStr">
        <is>
          <t>TripSaver (religador monofásico)</t>
        </is>
      </c>
      <c r="C8" s="23" t="inlineStr">
        <is>
          <t>—</t>
        </is>
      </c>
      <c r="D8" s="23" t="n">
        <v>3</v>
      </c>
      <c r="E8" s="24">
        <f>WBS!C25</f>
        <v/>
      </c>
      <c r="F8" s="23" t="inlineStr"/>
      <c r="G8" s="23" t="inlineStr">
        <is>
          <t>A confirmar</t>
        </is>
      </c>
    </row>
    <row r="9">
      <c r="A9" s="23" t="n">
        <v>92118</v>
      </c>
      <c r="B9" s="17" t="inlineStr">
        <is>
          <t>Religador automático</t>
        </is>
      </c>
      <c r="C9" s="23" t="inlineStr">
        <is>
          <t>13,8 kV</t>
        </is>
      </c>
      <c r="D9" s="23" t="n">
        <v>1</v>
      </c>
      <c r="E9" s="24">
        <f>WBS!C36</f>
        <v/>
      </c>
      <c r="F9" s="23" t="inlineStr"/>
      <c r="G9" s="23" t="inlineStr">
        <is>
          <t>A confirmar</t>
        </is>
      </c>
    </row>
    <row r="10">
      <c r="A10" s="23" t="n">
        <v>89267</v>
      </c>
      <c r="B10" s="17" t="inlineStr">
        <is>
          <t>Regulador de tensão</t>
        </is>
      </c>
      <c r="C10" s="23" t="inlineStr">
        <is>
          <t>34,5 kV</t>
        </is>
      </c>
      <c r="D10" s="23" t="n">
        <v>2</v>
      </c>
      <c r="E10" s="24">
        <f>WBS!C47</f>
        <v/>
      </c>
      <c r="F10" s="23" t="inlineStr"/>
      <c r="G10" s="23" t="inlineStr">
        <is>
          <t>A confirmar</t>
        </is>
      </c>
    </row>
    <row r="11">
      <c r="A11" s="23" t="n">
        <v>92094</v>
      </c>
      <c r="B11" s="17" t="inlineStr">
        <is>
          <t>Religador automático</t>
        </is>
      </c>
      <c r="C11" s="23" t="inlineStr">
        <is>
          <t>34,5 kV</t>
        </is>
      </c>
      <c r="D11" s="23" t="n">
        <v>3</v>
      </c>
      <c r="E11" s="24">
        <f>WBS!C58</f>
        <v/>
      </c>
      <c r="F11" s="23" t="inlineStr"/>
      <c r="G11" s="23" t="inlineStr">
        <is>
          <t>A confirmar</t>
        </is>
      </c>
    </row>
    <row r="12">
      <c r="A12" s="23" t="n">
        <v>92095</v>
      </c>
      <c r="B12" s="17" t="inlineStr">
        <is>
          <t>Religador automático</t>
        </is>
      </c>
      <c r="C12" s="23" t="inlineStr">
        <is>
          <t>34,5 kV</t>
        </is>
      </c>
      <c r="D12" s="23" t="n">
        <v>1</v>
      </c>
      <c r="E12" s="24">
        <f>WBS!C69</f>
        <v/>
      </c>
      <c r="F12" s="23" t="inlineStr"/>
      <c r="G12" s="23" t="inlineStr">
        <is>
          <t>A confirmar</t>
        </is>
      </c>
    </row>
    <row r="13">
      <c r="A13" s="23" t="n">
        <v>92101</v>
      </c>
      <c r="B13" s="17" t="inlineStr">
        <is>
          <t>Religador automático (N.A)</t>
        </is>
      </c>
      <c r="C13" s="23" t="inlineStr">
        <is>
          <t>13,8 kV</t>
        </is>
      </c>
      <c r="D13" s="23" t="n">
        <v>1</v>
      </c>
      <c r="E13" s="24">
        <f>WBS!C80</f>
        <v/>
      </c>
      <c r="F13" s="23" t="inlineStr"/>
      <c r="G13" s="23" t="inlineStr">
        <is>
          <t>A confirmar</t>
        </is>
      </c>
    </row>
    <row r="14">
      <c r="A14" s="23" t="n">
        <v>92102</v>
      </c>
      <c r="B14" s="17" t="inlineStr">
        <is>
          <t>Religador automático (N.F)</t>
        </is>
      </c>
      <c r="C14" s="23" t="inlineStr">
        <is>
          <t>13,8 kV</t>
        </is>
      </c>
      <c r="D14" s="23" t="n">
        <v>1</v>
      </c>
      <c r="E14" s="24">
        <f>WBS!C91</f>
        <v/>
      </c>
      <c r="F14" s="23" t="inlineStr"/>
      <c r="G14" s="23" t="inlineStr">
        <is>
          <t>A confirmar</t>
        </is>
      </c>
    </row>
    <row r="15">
      <c r="A15" s="23" t="n">
        <v>70838</v>
      </c>
      <c r="B15" s="17" t="inlineStr">
        <is>
          <t>Regulador de tensão</t>
        </is>
      </c>
      <c r="C15" s="23" t="inlineStr">
        <is>
          <t>34,5 kV</t>
        </is>
      </c>
      <c r="D15" s="23" t="n">
        <v>1</v>
      </c>
      <c r="E15" s="24">
        <f>WBS!C102</f>
        <v/>
      </c>
      <c r="F15" s="23" t="inlineStr"/>
      <c r="G15" s="23" t="inlineStr">
        <is>
          <t>A confirmar</t>
        </is>
      </c>
    </row>
    <row r="16">
      <c r="A16" s="23" t="n">
        <v>70978</v>
      </c>
      <c r="B16" s="17" t="inlineStr">
        <is>
          <t>Regulador de tensão</t>
        </is>
      </c>
      <c r="C16" s="23" t="inlineStr">
        <is>
          <t>34,5 kV</t>
        </is>
      </c>
      <c r="D16" s="23" t="n">
        <v>1</v>
      </c>
      <c r="E16" s="24">
        <f>WBS!C113</f>
        <v/>
      </c>
      <c r="F16" s="23" t="inlineStr"/>
      <c r="G16" s="23" t="inlineStr">
        <is>
          <t>A confirmar</t>
        </is>
      </c>
    </row>
    <row r="17">
      <c r="A17" s="23" t="n">
        <v>89249</v>
      </c>
      <c r="B17" s="17" t="inlineStr">
        <is>
          <t>Regulador de tensão</t>
        </is>
      </c>
      <c r="C17" s="23" t="inlineStr">
        <is>
          <t>34,5 kV</t>
        </is>
      </c>
      <c r="D17" s="23" t="n">
        <v>1</v>
      </c>
      <c r="E17" s="24">
        <f>WBS!C124</f>
        <v/>
      </c>
      <c r="F17" s="23" t="inlineStr"/>
      <c r="G17" s="23" t="inlineStr">
        <is>
          <t>A confirmar</t>
        </is>
      </c>
    </row>
    <row r="18">
      <c r="A18" s="23" t="n">
        <v>89307</v>
      </c>
      <c r="B18" s="17" t="inlineStr">
        <is>
          <t>Regulador de tensão</t>
        </is>
      </c>
      <c r="C18" s="23" t="inlineStr">
        <is>
          <t>13,8 kV</t>
        </is>
      </c>
      <c r="D18" s="23" t="n">
        <v>1</v>
      </c>
      <c r="E18" s="24">
        <f>WBS!C135</f>
        <v/>
      </c>
      <c r="F18" s="23" t="inlineStr"/>
      <c r="G18" s="23" t="inlineStr">
        <is>
          <t>A confirmar</t>
        </is>
      </c>
    </row>
    <row r="19">
      <c r="A19" s="23" t="n">
        <v>89307</v>
      </c>
      <c r="B19" s="17" t="inlineStr">
        <is>
          <t>Religador 13,8 kV – remanejamento (equipamento existente)</t>
        </is>
      </c>
      <c r="C19" s="23" t="inlineStr">
        <is>
          <t>13,8 kV</t>
        </is>
      </c>
      <c r="D19" s="23" t="n">
        <v>1</v>
      </c>
      <c r="E19" s="24">
        <f>WBS!C135</f>
        <v/>
      </c>
      <c r="F19" s="23" t="inlineStr"/>
      <c r="G19" s="23" t="inlineStr">
        <is>
          <t>A confirmar</t>
        </is>
      </c>
    </row>
    <row r="21">
      <c r="A21" s="50" t="inlineStr">
        <is>
          <t>Resumo: 9 RT (8 de 34,5 kV e 1 de 13,8 kV); 12 RL novos (9 de 34,5 kV e 3 de 13,8 kV) + 1 RL remanejado; 3 TripSavers.</t>
        </is>
      </c>
    </row>
    <row r="22">
      <c r="A22" s="58" t="inlineStr">
        <is>
          <t>Atenção: o prazo de fornecimento não foi usado no cronograma. A ATA do TM (06/10/2026) cita lead time de 210 dias da SEL para IEDs/relés – validar com Suprimentos antes do PRM.</t>
        </is>
      </c>
    </row>
    <row r="23">
      <c r="A23" s="21" t="inlineStr">
        <is>
          <t>Contratação da EPS: O.S. assinada antes da 1ª execução (premissa do template KOM).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0" customWidth="1" min="2" max="2"/>
    <col width="8" customWidth="1" min="3" max="3"/>
    <col width="14" customWidth="1" min="4" max="4"/>
    <col width="14" customWidth="1" min="5" max="5"/>
    <col width="12" customWidth="1" min="6" max="6"/>
    <col width="12" customWidth="1" min="7" max="7"/>
    <col width="38" customWidth="1" min="8" max="8"/>
  </cols>
  <sheetData>
    <row r="1">
      <c r="A1" s="22" t="inlineStr">
        <is>
          <t>Evidência dos prazos – blocos de instalação de RL e RT do WBS PN 2026 (arquivo WBS.xlsx)</t>
        </is>
      </c>
    </row>
    <row r="3" ht="36" customHeight="1">
      <c r="A3" s="1" t="inlineStr">
        <is>
          <t>Linha WBS.xlsx</t>
        </is>
      </c>
      <c r="B3" s="1" t="inlineStr">
        <is>
          <t>Bloco (PN 2026)</t>
        </is>
      </c>
      <c r="C3" s="1" t="inlineStr">
        <is>
          <t>Equip.</t>
        </is>
      </c>
      <c r="D3" s="1" t="inlineStr">
        <is>
          <t>Executar Obras (dias)</t>
        </is>
      </c>
      <c r="E3" s="1" t="inlineStr">
        <is>
          <t>Duração total (dias)</t>
        </is>
      </c>
      <c r="F3" s="1" t="inlineStr">
        <is>
          <t>Início</t>
        </is>
      </c>
      <c r="G3" s="1" t="inlineStr">
        <is>
          <t>Término</t>
        </is>
      </c>
      <c r="H3" s="1" t="inlineStr">
        <is>
          <t>Usado como referência?</t>
        </is>
      </c>
    </row>
    <row r="4" ht="28" customHeight="1">
      <c r="A4" s="59" t="n">
        <v>54</v>
      </c>
      <c r="B4" s="60" t="inlineStr">
        <is>
          <t>BLOCO 1 – Bay e SDMT AL 10 SE Palmas III – Instalação de 5 RL e remanejamento de 1 RL 13,8 kV (71018)</t>
        </is>
      </c>
      <c r="C4" s="59" t="n">
        <v>6</v>
      </c>
      <c r="D4" s="59" t="n">
        <v>45</v>
      </c>
      <c r="E4" s="59" t="n">
        <v>101</v>
      </c>
      <c r="F4" s="61" t="n">
        <v>46244</v>
      </c>
      <c r="G4" s="61" t="n">
        <v>46345</v>
      </c>
      <c r="H4" s="60" t="inlineStr">
        <is>
          <t>Sim – pacote 5+ equipamentos (P45)</t>
        </is>
      </c>
    </row>
    <row r="5" ht="28" customHeight="1">
      <c r="A5" s="59" t="n">
        <v>105</v>
      </c>
      <c r="B5" s="60" t="inlineStr">
        <is>
          <t>BLOCO 3 – LDMT AL 2 de Araguaína I – Instalação de 5 RL 13,8 kV (73521) – Parte III</t>
        </is>
      </c>
      <c r="C5" s="59" t="n">
        <v>5</v>
      </c>
      <c r="D5" s="59" t="n">
        <v>45</v>
      </c>
      <c r="E5" s="59" t="n">
        <v>101</v>
      </c>
      <c r="F5" s="61" t="n">
        <v>46195</v>
      </c>
      <c r="G5" s="61" t="n">
        <v>46296</v>
      </c>
      <c r="H5" s="60" t="inlineStr">
        <is>
          <t>Sim – pacote 5+ equipamentos (P45)</t>
        </is>
      </c>
    </row>
    <row r="6" ht="28" customHeight="1">
      <c r="A6" s="59" t="n">
        <v>146</v>
      </c>
      <c r="B6" s="60" t="inlineStr">
        <is>
          <t>LD Bielândia – Palmeirante – Instalação de um regulador de tensão 34,5 kV (72240)</t>
        </is>
      </c>
      <c r="C6" s="59" t="n">
        <v>1</v>
      </c>
      <c r="D6" s="59" t="n">
        <v>30</v>
      </c>
      <c r="E6" s="59" t="n">
        <v>86</v>
      </c>
      <c r="F6" s="61" t="n">
        <v>46210</v>
      </c>
      <c r="G6" s="61" t="n">
        <v>46296</v>
      </c>
      <c r="H6" s="60" t="inlineStr">
        <is>
          <t>Sim – pacote até 4 (P30)</t>
        </is>
      </c>
    </row>
    <row r="7" ht="28" customHeight="1">
      <c r="A7" s="59" t="n">
        <v>157</v>
      </c>
      <c r="B7" s="60" t="inlineStr">
        <is>
          <t>LD Araguaína – Araguanã – Instalação de um regulador de tensão 34,5 kV (71579)</t>
        </is>
      </c>
      <c r="C7" s="59" t="n">
        <v>1</v>
      </c>
      <c r="D7" s="59" t="n">
        <v>30</v>
      </c>
      <c r="E7" s="59" t="n">
        <v>86</v>
      </c>
      <c r="F7" s="61" t="n">
        <v>46210</v>
      </c>
      <c r="G7" s="61" t="n">
        <v>46296</v>
      </c>
      <c r="H7" s="60" t="inlineStr">
        <is>
          <t>Sim – pacote até 4 (P30)</t>
        </is>
      </c>
    </row>
    <row r="8" ht="28" customHeight="1">
      <c r="A8" s="59" t="n">
        <v>188</v>
      </c>
      <c r="B8" s="60" t="inlineStr">
        <is>
          <t>AL SE Bielândia – Realocar RL (1), Instalar Religador 34,5 kV (2), Instalar Regulador de Tensão 34,5 kV (1) (71139) – Parte III</t>
        </is>
      </c>
      <c r="C8" s="59" t="n">
        <v>4</v>
      </c>
      <c r="D8" s="59" t="n">
        <v>30</v>
      </c>
      <c r="E8" s="59" t="n">
        <v>87</v>
      </c>
      <c r="F8" s="61" t="n">
        <v>46202</v>
      </c>
      <c r="G8" s="61" t="n">
        <v>46289</v>
      </c>
      <c r="H8" s="60" t="inlineStr">
        <is>
          <t>Sim – pacote até 4 (P30)</t>
        </is>
      </c>
    </row>
    <row r="9" ht="28" customHeight="1">
      <c r="A9" s="59" t="n">
        <v>219</v>
      </c>
      <c r="B9" s="60" t="inlineStr">
        <is>
          <t>LD Paranã – Palmeirópolis – Remanejamento de Regulador de Tensão 34,5 kV (72938)</t>
        </is>
      </c>
      <c r="C9" s="59" t="n">
        <v>1</v>
      </c>
      <c r="D9" s="59" t="n">
        <v>30</v>
      </c>
      <c r="E9" s="59" t="n">
        <v>87</v>
      </c>
      <c r="F9" s="61" t="n">
        <v>46153</v>
      </c>
      <c r="G9" s="61" t="n">
        <v>46240</v>
      </c>
      <c r="H9" s="60" t="inlineStr">
        <is>
          <t>Sim – pacote até 4 (P30)</t>
        </is>
      </c>
    </row>
    <row r="10" ht="28" customHeight="1">
      <c r="A10" s="59" t="n">
        <v>240</v>
      </c>
      <c r="B10" s="60" t="inlineStr">
        <is>
          <t>SDMT AL 01 de Palmeirópolis – Remanejar 1 Religador 13,8 kV (81319) – Parte II</t>
        </is>
      </c>
      <c r="C10" s="59" t="n">
        <v>1</v>
      </c>
      <c r="D10" s="59" t="n">
        <v>30</v>
      </c>
      <c r="E10" s="59" t="n">
        <v>87</v>
      </c>
      <c r="F10" s="61" t="n">
        <v>46216</v>
      </c>
      <c r="G10" s="61" t="n">
        <v>46303</v>
      </c>
      <c r="H10" s="60" t="inlineStr">
        <is>
          <t>Sim – pacote até 4 (P30)</t>
        </is>
      </c>
    </row>
    <row r="11" ht="28" customHeight="1">
      <c r="A11" s="62" t="n">
        <v>65</v>
      </c>
      <c r="B11" s="63" t="inlineStr">
        <is>
          <t>BLOCO 2 – Instalação de 4 Banco Capacitor 300 kVAr (71018)</t>
        </is>
      </c>
      <c r="C11" s="62" t="n">
        <v>4</v>
      </c>
      <c r="D11" s="62" t="n">
        <v>30</v>
      </c>
      <c r="E11" s="62" t="n">
        <v>87</v>
      </c>
      <c r="F11" s="64" t="n">
        <v>46244</v>
      </c>
      <c r="G11" s="64" t="n">
        <v>46331</v>
      </c>
      <c r="H11" s="63" t="inlineStr">
        <is>
          <t>Não – banco de capacitores (fora do escopo RL/RT)</t>
        </is>
      </c>
    </row>
    <row r="12" ht="28" customHeight="1">
      <c r="A12" s="62" t="n">
        <v>126</v>
      </c>
      <c r="B12" s="63" t="inlineStr">
        <is>
          <t>LDMT 1 e 6 de Araguaína III – Instalação de 6 bancos de capacitores (81179) – Parte II</t>
        </is>
      </c>
      <c r="C12" s="62" t="n">
        <v>6</v>
      </c>
      <c r="D12" s="62" t="n">
        <v>30</v>
      </c>
      <c r="E12" s="62" t="n">
        <v>87</v>
      </c>
      <c r="F12" s="64" t="n">
        <v>46188</v>
      </c>
      <c r="G12" s="64" t="n">
        <v>46275</v>
      </c>
      <c r="H12" s="63" t="inlineStr">
        <is>
          <t>Não – banco de capacitores (fora do escopo RL/RT)</t>
        </is>
      </c>
    </row>
    <row r="14">
      <c r="A14" s="21" t="inlineStr">
        <is>
          <t>Não utilizados: Planejamento (PMA, projeto executivo, site survey), obras de construção/recapacitação de rede (120–150 dias de execução) e bancos de capacitores.</t>
        </is>
      </c>
    </row>
    <row r="15">
      <c r="A15" s="21" t="inlineStr">
        <is>
          <t>Etapas comuns a todos os blocos RL/RT: Fiscalização 12 | Cadastro EO 10 | TCI/Integração final 15 | GAT 8 | Comissionar 15 | Enc. Técnico 7 (úteis) | Enc. Contábil 3 (úteis).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52" customWidth="1" min="3" max="3"/>
    <col width="46" customWidth="1" min="4" max="4"/>
    <col width="5" customWidth="1" min="5" max="5"/>
    <col width="5" customWidth="1" min="6" max="6"/>
    <col width="9" customWidth="1" min="7" max="7"/>
    <col width="9" customWidth="1" min="8" max="8"/>
    <col width="12" customWidth="1" min="9" max="9"/>
    <col width="14" customWidth="1" min="10" max="10"/>
    <col width="18" customWidth="1" min="11" max="11"/>
    <col width="20" customWidth="1" min="12" max="12"/>
    <col width="18" customWidth="1" min="13" max="13"/>
    <col width="38" customWidth="1" min="14" max="14"/>
  </cols>
  <sheetData>
    <row r="1">
      <c r="A1" s="22" t="inlineStr">
        <is>
          <t>Carteira PN 2027 – 12 SIGCOs de instalação de RL e RT (GP: Sandro Padilha Dias Junior – DCMD)</t>
        </is>
      </c>
    </row>
    <row r="3" ht="42" customHeight="1">
      <c r="A3" s="1" t="inlineStr">
        <is>
          <t>SIGCO</t>
        </is>
      </c>
      <c r="B3" s="1" t="inlineStr">
        <is>
          <t>Capítulo PN</t>
        </is>
      </c>
      <c r="C3" s="1" t="inlineStr">
        <is>
          <t>Projeto</t>
        </is>
      </c>
      <c r="D3" s="1" t="inlineStr">
        <is>
          <t>Escopo (equipamentos)</t>
        </is>
      </c>
      <c r="E3" s="1" t="inlineStr">
        <is>
          <t>RL</t>
        </is>
      </c>
      <c r="F3" s="1" t="inlineStr">
        <is>
          <t>RT</t>
        </is>
      </c>
      <c r="G3" s="1" t="inlineStr">
        <is>
          <t>TripSaver</t>
        </is>
      </c>
      <c r="H3" s="1" t="inlineStr">
        <is>
          <t>Nº equip.</t>
        </is>
      </c>
      <c r="I3" s="1" t="inlineStr">
        <is>
          <t>Pacote de prazo</t>
        </is>
      </c>
      <c r="J3" s="1" t="inlineStr">
        <is>
          <t>Meta de energização</t>
        </is>
      </c>
      <c r="K3" s="1" t="inlineStr">
        <is>
          <t>Orçamento Agosto (R$)</t>
        </is>
      </c>
      <c r="L3" s="1" t="inlineStr">
        <is>
          <t>Orçamento 08.10 (R$) – aprovado</t>
        </is>
      </c>
      <c r="M3" s="1" t="inlineStr">
        <is>
          <t>Δ 08.10 − Agosto (R$)</t>
        </is>
      </c>
      <c r="N3" s="1" t="inlineStr">
        <is>
          <t>Benefício esperado</t>
        </is>
      </c>
    </row>
    <row r="4" ht="30" customHeight="1">
      <c r="A4" s="23" t="n">
        <v>90811</v>
      </c>
      <c r="B4" s="17" t="inlineStr">
        <is>
          <t>Qualidade do Produto</t>
        </is>
      </c>
      <c r="C4" s="17" t="inlineStr">
        <is>
          <t>Instalação de RL e RT - LD UHE Isamu - Ponte Alta - 1UI1 - QP</t>
        </is>
      </c>
      <c r="D4" s="17" t="inlineStr">
        <is>
          <t>4 RL 34,5 kV + 3 RT 34,5 kV (+ 0,25 km RD MT e 2 chaves faca)</t>
        </is>
      </c>
      <c r="E4" s="23" t="n">
        <v>4</v>
      </c>
      <c r="F4" s="23" t="n">
        <v>3</v>
      </c>
      <c r="G4" s="23" t="n">
        <v>0</v>
      </c>
      <c r="H4" s="23" t="n">
        <v>7</v>
      </c>
      <c r="I4" s="65" t="inlineStr">
        <is>
          <t>P45</t>
        </is>
      </c>
      <c r="J4" s="66" t="n">
        <v>46507</v>
      </c>
      <c r="K4" s="67" t="n">
        <v>1627896.9854</v>
      </c>
      <c r="L4" s="68" t="n">
        <v>1801604.82</v>
      </c>
      <c r="M4" s="69">
        <f>L4-K4</f>
        <v/>
      </c>
      <c r="N4" s="17" t="inlineStr">
        <is>
          <t>Tensão 0,91 → 0,95 pu</t>
        </is>
      </c>
    </row>
    <row r="5" ht="30" customHeight="1">
      <c r="A5" s="23" t="n">
        <v>91979</v>
      </c>
      <c r="B5" s="17" t="inlineStr">
        <is>
          <t>Qualidade do Serviço</t>
        </is>
      </c>
      <c r="C5" s="17" t="inlineStr">
        <is>
          <t>Estudo de QS - LD Gurupi - Duere</t>
        </is>
      </c>
      <c r="D5" s="17" t="inlineStr">
        <is>
          <t>1 RL rural 34,5 kV + 3 TripSaver</t>
        </is>
      </c>
      <c r="E5" s="23" t="n">
        <v>1</v>
      </c>
      <c r="F5" s="23" t="n">
        <v>0</v>
      </c>
      <c r="G5" s="23" t="n">
        <v>3</v>
      </c>
      <c r="H5" s="23" t="n">
        <v>4</v>
      </c>
      <c r="I5" s="65" t="inlineStr">
        <is>
          <t>P30</t>
        </is>
      </c>
      <c r="J5" s="66" t="n">
        <v>46538</v>
      </c>
      <c r="K5" s="67" t="n">
        <v>275195.3599</v>
      </c>
      <c r="L5" s="68" t="n">
        <v>239581.77</v>
      </c>
      <c r="M5" s="69">
        <f>L5-K5</f>
        <v/>
      </c>
      <c r="N5" s="17" t="inlineStr">
        <is>
          <t>DEC −0,557 h / FEC −0,104 (base conjunto)</t>
        </is>
      </c>
    </row>
    <row r="6" ht="30" customHeight="1">
      <c r="A6" s="23" t="n">
        <v>92118</v>
      </c>
      <c r="B6" s="17" t="inlineStr">
        <is>
          <t>Qualidade do Serviço</t>
        </is>
      </c>
      <c r="C6" s="17" t="inlineStr">
        <is>
          <t>Estudo de QS - 4 de Araguaína IV</t>
        </is>
      </c>
      <c r="D6" s="17" t="inlineStr">
        <is>
          <t>1 RL automático 13,8 kV</t>
        </is>
      </c>
      <c r="E6" s="23" t="n">
        <v>1</v>
      </c>
      <c r="F6" s="23" t="n">
        <v>0</v>
      </c>
      <c r="G6" s="23" t="n">
        <v>0</v>
      </c>
      <c r="H6" s="23" t="n">
        <v>1</v>
      </c>
      <c r="I6" s="65" t="inlineStr">
        <is>
          <t>P30</t>
        </is>
      </c>
      <c r="J6" s="66" t="n">
        <v>46538</v>
      </c>
      <c r="K6" s="67" t="n">
        <v>121831.5199</v>
      </c>
      <c r="L6" s="68" t="n">
        <v>110736.26</v>
      </c>
      <c r="M6" s="69">
        <f>L6-K6</f>
        <v/>
      </c>
      <c r="N6" s="17" t="inlineStr">
        <is>
          <t>DEC −0,078 h / FEC −0,030 (base conjunto)</t>
        </is>
      </c>
    </row>
    <row r="7" ht="30" customHeight="1">
      <c r="A7" s="23" t="n">
        <v>89267</v>
      </c>
      <c r="B7" s="17" t="inlineStr">
        <is>
          <t>Qualidade do Produto</t>
        </is>
      </c>
      <c r="C7" s="17" t="inlineStr">
        <is>
          <t>Instalação de RT - LD Xambioá II - Araguanã - 2XB2 - QP</t>
        </is>
      </c>
      <c r="D7" s="17" t="inlineStr">
        <is>
          <t>2 RT 34,5 kV</t>
        </is>
      </c>
      <c r="E7" s="23" t="n">
        <v>0</v>
      </c>
      <c r="F7" s="23" t="n">
        <v>2</v>
      </c>
      <c r="G7" s="23" t="n">
        <v>0</v>
      </c>
      <c r="H7" s="23" t="n">
        <v>2</v>
      </c>
      <c r="I7" s="65" t="inlineStr">
        <is>
          <t>P30</t>
        </is>
      </c>
      <c r="J7" s="66" t="n">
        <v>46538</v>
      </c>
      <c r="K7" s="67" t="n">
        <v>1083084.5918</v>
      </c>
      <c r="L7" s="68" t="n">
        <v>802322.3320000001</v>
      </c>
      <c r="M7" s="69">
        <f>L7-K7</f>
        <v/>
      </c>
      <c r="N7" s="17" t="inlineStr">
        <is>
          <t>Tensão 0,929 → 0,945 pu</t>
        </is>
      </c>
    </row>
    <row r="8" ht="30" customHeight="1">
      <c r="A8" s="23" t="n">
        <v>92094</v>
      </c>
      <c r="B8" s="17" t="inlineStr">
        <is>
          <t>Qualidade do Serviço</t>
        </is>
      </c>
      <c r="C8" s="17" t="inlineStr">
        <is>
          <t>Estudo de QS - LD Palmas - Aparecida do Rio Negro</t>
        </is>
      </c>
      <c r="D8" s="17" t="inlineStr">
        <is>
          <t>3 RL automáticos 34,5 kV</t>
        </is>
      </c>
      <c r="E8" s="23" t="n">
        <v>3</v>
      </c>
      <c r="F8" s="23" t="n">
        <v>0</v>
      </c>
      <c r="G8" s="23" t="n">
        <v>0</v>
      </c>
      <c r="H8" s="23" t="n">
        <v>3</v>
      </c>
      <c r="I8" s="65" t="inlineStr">
        <is>
          <t>P30</t>
        </is>
      </c>
      <c r="J8" s="66" t="n">
        <v>46568</v>
      </c>
      <c r="K8" s="67" t="n">
        <v>505316.5797</v>
      </c>
      <c r="L8" s="68" t="n">
        <v>390750.03</v>
      </c>
      <c r="M8" s="69">
        <f>L8-K8</f>
        <v/>
      </c>
      <c r="N8" s="17" t="inlineStr">
        <is>
          <t>DEC −0,402 h / FEC −0,204 (base conjunto)</t>
        </is>
      </c>
    </row>
    <row r="9" ht="30" customHeight="1">
      <c r="A9" s="23" t="n">
        <v>92095</v>
      </c>
      <c r="B9" s="17" t="inlineStr">
        <is>
          <t>Qualidade do Serviço</t>
        </is>
      </c>
      <c r="C9" s="17" t="inlineStr">
        <is>
          <t>Estudo de QS - LD Palmas - Lajeado</t>
        </is>
      </c>
      <c r="D9" s="17" t="inlineStr">
        <is>
          <t>1 RL automático 34,5 kV</t>
        </is>
      </c>
      <c r="E9" s="23" t="n">
        <v>1</v>
      </c>
      <c r="F9" s="23" t="n">
        <v>0</v>
      </c>
      <c r="G9" s="23" t="n">
        <v>0</v>
      </c>
      <c r="H9" s="23" t="n">
        <v>1</v>
      </c>
      <c r="I9" s="65" t="inlineStr">
        <is>
          <t>P30</t>
        </is>
      </c>
      <c r="J9" s="66" t="n">
        <v>46568</v>
      </c>
      <c r="K9" s="67" t="n">
        <v>168438.8599</v>
      </c>
      <c r="L9" s="68" t="n">
        <v>130250.01</v>
      </c>
      <c r="M9" s="69">
        <f>L9-K9</f>
        <v/>
      </c>
      <c r="N9" s="17" t="inlineStr">
        <is>
          <t>DEC −0,325 h / FEC −0,069 (base conjunto)</t>
        </is>
      </c>
    </row>
    <row r="10" ht="30" customHeight="1">
      <c r="A10" s="23" t="n">
        <v>92101</v>
      </c>
      <c r="B10" s="17" t="inlineStr">
        <is>
          <t>Qualidade do Serviço</t>
        </is>
      </c>
      <c r="C10" s="17" t="inlineStr">
        <is>
          <t>Estudo de QS - 8 de Palmas IV</t>
        </is>
      </c>
      <c r="D10" s="17" t="inlineStr">
        <is>
          <t>1 RL automático 13,8 kV (N.A)</t>
        </is>
      </c>
      <c r="E10" s="23" t="n">
        <v>1</v>
      </c>
      <c r="F10" s="23" t="n">
        <v>0</v>
      </c>
      <c r="G10" s="23" t="n">
        <v>0</v>
      </c>
      <c r="H10" s="23" t="n">
        <v>1</v>
      </c>
      <c r="I10" s="65" t="inlineStr">
        <is>
          <t>P30</t>
        </is>
      </c>
      <c r="J10" s="66" t="n">
        <v>46568</v>
      </c>
      <c r="K10" s="67" t="n">
        <v>121831.5199</v>
      </c>
      <c r="L10" s="68" t="n">
        <v>110736.26</v>
      </c>
      <c r="M10" s="69">
        <f>L10-K10</f>
        <v/>
      </c>
      <c r="N10" s="17" t="inlineStr">
        <is>
          <t>DEC −0,141 h / FEC −0,076 (base conjunto)</t>
        </is>
      </c>
    </row>
    <row r="11" ht="30" customHeight="1">
      <c r="A11" s="23" t="n">
        <v>92102</v>
      </c>
      <c r="B11" s="17" t="inlineStr">
        <is>
          <t>Qualidade do Serviço</t>
        </is>
      </c>
      <c r="C11" s="17" t="inlineStr">
        <is>
          <t>Estudo de QS - 6 de Palmas IV</t>
        </is>
      </c>
      <c r="D11" s="17" t="inlineStr">
        <is>
          <t>1 RL automático 13,8 kV (N.F)</t>
        </is>
      </c>
      <c r="E11" s="23" t="n">
        <v>1</v>
      </c>
      <c r="F11" s="23" t="n">
        <v>0</v>
      </c>
      <c r="G11" s="23" t="n">
        <v>0</v>
      </c>
      <c r="H11" s="23" t="n">
        <v>1</v>
      </c>
      <c r="I11" s="65" t="inlineStr">
        <is>
          <t>P30</t>
        </is>
      </c>
      <c r="J11" s="66" t="n">
        <v>46568</v>
      </c>
      <c r="K11" s="67" t="n">
        <v>121831.5199</v>
      </c>
      <c r="L11" s="68" t="n">
        <v>110736.26</v>
      </c>
      <c r="M11" s="69">
        <f>L11-K11</f>
        <v/>
      </c>
      <c r="N11" s="17" t="inlineStr">
        <is>
          <t>DEC −0,043 h / FEC −0,017 (base conjunto)</t>
        </is>
      </c>
    </row>
    <row r="12" ht="30" customHeight="1">
      <c r="A12" s="23" t="n">
        <v>70838</v>
      </c>
      <c r="B12" s="17" t="inlineStr">
        <is>
          <t>Qualidade do Produto</t>
        </is>
      </c>
      <c r="C12" s="17" t="inlineStr">
        <is>
          <t>Instalação de RT - LD Cristalândia - Lagoa da Confusão</t>
        </is>
      </c>
      <c r="D12" s="17" t="inlineStr">
        <is>
          <t>1 RT 34,5 kV</t>
        </is>
      </c>
      <c r="E12" s="23" t="n">
        <v>0</v>
      </c>
      <c r="F12" s="23" t="n">
        <v>1</v>
      </c>
      <c r="G12" s="23" t="n">
        <v>0</v>
      </c>
      <c r="H12" s="23" t="n">
        <v>1</v>
      </c>
      <c r="I12" s="65" t="inlineStr">
        <is>
          <t>P30</t>
        </is>
      </c>
      <c r="J12" s="66" t="n">
        <v>46568</v>
      </c>
      <c r="K12" s="67" t="n">
        <v>539995.5199</v>
      </c>
      <c r="L12" s="68" t="n">
        <v>399614.39</v>
      </c>
      <c r="M12" s="69">
        <f>L12-K12</f>
        <v/>
      </c>
      <c r="N12" s="17" t="inlineStr">
        <is>
          <t>Tensão 0,91 → 0,96 pu</t>
        </is>
      </c>
    </row>
    <row r="13" ht="30" customHeight="1">
      <c r="A13" s="23" t="n">
        <v>70978</v>
      </c>
      <c r="B13" s="17" t="inlineStr">
        <is>
          <t>Qualidade do Produto</t>
        </is>
      </c>
      <c r="C13" s="17" t="inlineStr">
        <is>
          <t>Instalação de RT e Balanceamento de Fase - LD Paraíso I - Caseara - 2PR0 - QP</t>
        </is>
      </c>
      <c r="D13" s="17" t="inlineStr">
        <is>
          <t>1 RT 34,5 kV + balanceamento de fase (3 ramais)</t>
        </is>
      </c>
      <c r="E13" s="23" t="n">
        <v>0</v>
      </c>
      <c r="F13" s="23" t="n">
        <v>1</v>
      </c>
      <c r="G13" s="23" t="n">
        <v>0</v>
      </c>
      <c r="H13" s="23" t="n">
        <v>1</v>
      </c>
      <c r="I13" s="65" t="inlineStr">
        <is>
          <t>P30</t>
        </is>
      </c>
      <c r="J13" s="66" t="n">
        <v>46568</v>
      </c>
      <c r="K13" s="67" t="n">
        <v>540294.8959</v>
      </c>
      <c r="L13" s="68" t="n">
        <v>399913.766</v>
      </c>
      <c r="M13" s="69">
        <f>L13-K13</f>
        <v/>
      </c>
      <c r="N13" s="17" t="inlineStr">
        <is>
          <t>Tensão 0,91 → 0,97 pu</t>
        </is>
      </c>
    </row>
    <row r="14" ht="30" customHeight="1">
      <c r="A14" s="23" t="n">
        <v>89249</v>
      </c>
      <c r="B14" s="17" t="inlineStr">
        <is>
          <t>Qualidade do Produto</t>
        </is>
      </c>
      <c r="C14" s="17" t="inlineStr">
        <is>
          <t>Instalação de RT - LD Araguaína - Babaçulândia - 2AR0 - QP</t>
        </is>
      </c>
      <c r="D14" s="17" t="inlineStr">
        <is>
          <t>1 RT 34,5 kV</t>
        </is>
      </c>
      <c r="E14" s="23" t="n">
        <v>0</v>
      </c>
      <c r="F14" s="23" t="n">
        <v>1</v>
      </c>
      <c r="G14" s="23" t="n">
        <v>0</v>
      </c>
      <c r="H14" s="23" t="n">
        <v>1</v>
      </c>
      <c r="I14" s="65" t="inlineStr">
        <is>
          <t>P30</t>
        </is>
      </c>
      <c r="J14" s="66" t="n">
        <v>46630</v>
      </c>
      <c r="K14" s="67" t="n">
        <v>539995.5199</v>
      </c>
      <c r="L14" s="68" t="n">
        <v>399614.39</v>
      </c>
      <c r="M14" s="69">
        <f>L14-K14</f>
        <v/>
      </c>
      <c r="N14" s="17" t="inlineStr">
        <is>
          <t>Tensão 0,921 → 0,953 pu</t>
        </is>
      </c>
    </row>
    <row r="15" ht="30" customHeight="1">
      <c r="A15" s="23" t="n">
        <v>89307</v>
      </c>
      <c r="B15" s="17" t="inlineStr">
        <is>
          <t>Qualidade do Produto</t>
        </is>
      </c>
      <c r="C15" s="17" t="inlineStr">
        <is>
          <t>Instalação de RT - 1 de Figueirópolis - 2FGR - QP</t>
        </is>
      </c>
      <c r="D15" s="17" t="inlineStr">
        <is>
          <t>1 RT 13,8 kV + remanejamento de 1 RL 13,8 kV</t>
        </is>
      </c>
      <c r="E15" s="23" t="n">
        <v>1</v>
      </c>
      <c r="F15" s="23" t="n">
        <v>1</v>
      </c>
      <c r="G15" s="23" t="n">
        <v>0</v>
      </c>
      <c r="H15" s="23" t="n">
        <v>2</v>
      </c>
      <c r="I15" s="65" t="inlineStr">
        <is>
          <t>P30</t>
        </is>
      </c>
      <c r="J15" s="66" t="n">
        <v>46630</v>
      </c>
      <c r="K15" s="67" t="n">
        <v>373175.8639</v>
      </c>
      <c r="L15" s="68" t="n">
        <v>330989.034</v>
      </c>
      <c r="M15" s="69">
        <f>L15-K15</f>
        <v/>
      </c>
      <c r="N15" s="17" t="inlineStr">
        <is>
          <t>Tensão 0,92 → 0,96 pu</t>
        </is>
      </c>
    </row>
    <row r="16">
      <c r="C16" s="50" t="inlineStr">
        <is>
          <t>Total da carteira</t>
        </is>
      </c>
      <c r="E16" s="70">
        <f>SUM(E4:E15)</f>
        <v/>
      </c>
      <c r="F16" s="70">
        <f>SUM(F4:F15)</f>
        <v/>
      </c>
      <c r="G16" s="70">
        <f>SUM(G4:G15)</f>
        <v/>
      </c>
      <c r="H16" s="70">
        <f>SUM(H4:H15)</f>
        <v/>
      </c>
      <c r="K16" s="71">
        <f>SUM(K4:K15)</f>
        <v/>
      </c>
      <c r="L16" s="71">
        <f>SUM(L4:L15)</f>
        <v/>
      </c>
      <c r="M16" s="71">
        <f>SUM(M4:M15)</f>
        <v/>
      </c>
    </row>
    <row r="18">
      <c r="A18" s="21" t="inlineStr">
        <is>
          <t>Fontes: Planejamento PN.xlsx (aba CAPEX), Cadastro_CAPEX_2027_2029 (Orçamento 08.10), fichas dos projetos 2027 (PDF), TM-Transfer Meeting 06/10/2026 (meta de energização).</t>
        </is>
      </c>
    </row>
    <row r="19">
      <c r="A19" s="21" t="inlineStr">
        <is>
          <t>RL = religador (inclui 1 RL rural 34,5 kV no SIGCO 91979 e 1 RL remanejado no 89307); RT = regulador de tensão; pacote P30 = até 4 equipamentos, P45 = 5 ou mais.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14" customWidth="1" min="3" max="3"/>
    <col width="52" customWidth="1" min="4" max="4"/>
    <col width="70" customWidth="1" min="5" max="5"/>
  </cols>
  <sheetData>
    <row r="1">
      <c r="A1" s="22" t="inlineStr">
        <is>
          <t>Parâmetros do cronograma – PN 2027 (instalação de RL e RT)</t>
        </is>
      </c>
    </row>
    <row r="2" ht="42" customHeight="1">
      <c r="A2" s="46" t="inlineStr">
        <is>
          <t>Prazos extraídos SOMENTE dos blocos de instalação de religadores (RL) e reguladores de tensão (RT) do WBS PN 2026. Células em azul são entradas editáveis; todo o cronograma recalcula a partir delas.</t>
        </is>
      </c>
    </row>
    <row r="4" ht="30" customHeight="1">
      <c r="A4" s="1" t="inlineStr">
        <is>
          <t>Etapa (nome igual ao WBS 2026)</t>
        </is>
      </c>
      <c r="B4" s="1" t="inlineStr">
        <is>
          <t>Dias</t>
        </is>
      </c>
      <c r="C4" s="1" t="inlineStr">
        <is>
          <t>Tipo de dia</t>
        </is>
      </c>
      <c r="D4" s="1" t="inlineStr">
        <is>
          <t>Regra de encadeamento</t>
        </is>
      </c>
      <c r="E4" s="1" t="inlineStr">
        <is>
          <t>Origem do prazo (WBS PN 2026)</t>
        </is>
      </c>
    </row>
    <row r="5" ht="30" customHeight="1">
      <c r="A5" s="17" t="inlineStr">
        <is>
          <t>Executar Obras – pacote até 4 equipamentos (P30)</t>
        </is>
      </c>
      <c r="B5" s="72" t="n">
        <v>30</v>
      </c>
      <c r="C5" s="23" t="inlineStr">
        <is>
          <t>corrido</t>
        </is>
      </c>
      <c r="D5" s="17" t="inlineStr">
        <is>
          <t>Início = dado de entrada (calculado de trás para frente a partir da meta de energização)</t>
        </is>
      </c>
      <c r="E5" s="17" t="inlineStr">
        <is>
          <t>Blocos RT 72240, RT 71579, RT 72938, RL 81319 e AL SE Bielândia 71139 (1 a 4 equipamentos): 30 dias</t>
        </is>
      </c>
    </row>
    <row r="6" ht="30" customHeight="1">
      <c r="A6" s="17" t="inlineStr">
        <is>
          <t>Executar Obras – pacote com 5 ou mais equipamentos (P45)</t>
        </is>
      </c>
      <c r="B6" s="72" t="n">
        <v>45</v>
      </c>
      <c r="C6" s="23" t="inlineStr">
        <is>
          <t>corrido</t>
        </is>
      </c>
      <c r="D6" s="17" t="inlineStr">
        <is>
          <t>Idem</t>
        </is>
      </c>
      <c r="E6" s="17" t="inlineStr">
        <is>
          <t>BLOCO 1 (5 RL + 1 remanej., SIGCO 71018) e BLOCO 3 (5 RL, SIGCO 73521): 45 dias</t>
        </is>
      </c>
    </row>
    <row r="7" ht="30" customHeight="1">
      <c r="A7" s="17" t="inlineStr">
        <is>
          <t>Fiscalização</t>
        </is>
      </c>
      <c r="B7" s="72" t="n">
        <v>12</v>
      </c>
      <c r="C7" s="23" t="inlineStr">
        <is>
          <t>corrido</t>
        </is>
      </c>
      <c r="D7" s="17" t="inlineStr">
        <is>
          <t>Inicia no 1º dia útil após Obras Concluídas</t>
        </is>
      </c>
      <c r="E7" s="17" t="inlineStr">
        <is>
          <t>Todos os blocos RL/RT: 12 dias</t>
        </is>
      </c>
    </row>
    <row r="8" ht="30" customHeight="1">
      <c r="A8" s="17" t="inlineStr">
        <is>
          <t>Cadastro EO/ Integração parcial</t>
        </is>
      </c>
      <c r="B8" s="72" t="n">
        <v>10</v>
      </c>
      <c r="C8" s="23" t="inlineStr">
        <is>
          <t>corrido</t>
        </is>
      </c>
      <c r="D8" s="17" t="inlineStr">
        <is>
          <t>Inicia no 1º dia útil após a Fiscalização</t>
        </is>
      </c>
      <c r="E8" s="17" t="inlineStr">
        <is>
          <t>Todos os blocos RL/RT: 10 dias</t>
        </is>
      </c>
    </row>
    <row r="9" ht="30" customHeight="1">
      <c r="A9" s="17" t="inlineStr">
        <is>
          <t>Entrega do TCI pela empreiteira / Integração final</t>
        </is>
      </c>
      <c r="B9" s="72" t="n">
        <v>15</v>
      </c>
      <c r="C9" s="23" t="inlineStr">
        <is>
          <t>corrido</t>
        </is>
      </c>
      <c r="D9" s="17" t="inlineStr">
        <is>
          <t>Inicia no 1º dia útil após o Cadastro EO</t>
        </is>
      </c>
      <c r="E9" s="17" t="inlineStr">
        <is>
          <t>Todos os blocos RL/RT: 15 dias</t>
        </is>
      </c>
    </row>
    <row r="10" ht="30" customHeight="1">
      <c r="A10" s="17" t="inlineStr">
        <is>
          <t>Abertura de chamado/ Atendimento GAT</t>
        </is>
      </c>
      <c r="B10" s="72" t="n">
        <v>8</v>
      </c>
      <c r="C10" s="23" t="inlineStr">
        <is>
          <t>corrido</t>
        </is>
      </c>
      <c r="D10" s="17" t="inlineStr">
        <is>
          <t>Paralela: inicia junto com a Entrega do TCI</t>
        </is>
      </c>
      <c r="E10" s="17" t="inlineStr">
        <is>
          <t>Todos os blocos RL/RT: 8 dias</t>
        </is>
      </c>
    </row>
    <row r="11" ht="30" customHeight="1">
      <c r="A11" s="17" t="inlineStr">
        <is>
          <t>Comissionar Equipamentos</t>
        </is>
      </c>
      <c r="B11" s="72" t="n">
        <v>15</v>
      </c>
      <c r="C11" s="23" t="inlineStr">
        <is>
          <t>corrido</t>
        </is>
      </c>
      <c r="D11" s="17" t="inlineStr">
        <is>
          <t>Paralela: inicia junto com a Entrega do TCI; término = Equipamentos em Operação</t>
        </is>
      </c>
      <c r="E11" s="17" t="inlineStr">
        <is>
          <t>Todos os blocos RL/RT: 15 dias</t>
        </is>
      </c>
    </row>
    <row r="12" ht="30" customHeight="1">
      <c r="A12" s="17" t="inlineStr">
        <is>
          <t>Encerramento Técnico</t>
        </is>
      </c>
      <c r="B12" s="72" t="n">
        <v>7</v>
      </c>
      <c r="C12" s="23" t="inlineStr">
        <is>
          <t>útil</t>
        </is>
      </c>
      <c r="D12" s="17" t="inlineStr">
        <is>
          <t>Inicia no 1º dia útil após Equipamentos em Operação</t>
        </is>
      </c>
      <c r="E12" s="17" t="inlineStr">
        <is>
          <t>Todos os blocos RL/RT: 7 dias úteis</t>
        </is>
      </c>
    </row>
    <row r="13" ht="30" customHeight="1">
      <c r="A13" s="17" t="inlineStr">
        <is>
          <t>Encerramento Contábil</t>
        </is>
      </c>
      <c r="B13" s="72" t="n">
        <v>3</v>
      </c>
      <c r="C13" s="23" t="inlineStr">
        <is>
          <t>útil</t>
        </is>
      </c>
      <c r="D13" s="17" t="inlineStr">
        <is>
          <t>Inicia no 1º dia útil após o Encerramento Técnico</t>
        </is>
      </c>
      <c r="E13" s="17" t="inlineStr">
        <is>
          <t>Todos os blocos RL/RT: 3 dias úteis</t>
        </is>
      </c>
    </row>
    <row r="15" ht="30" customHeight="1">
      <c r="A15" s="50" t="inlineStr">
        <is>
          <t>Parcela de material na curva orçamentária</t>
        </is>
      </c>
      <c r="B15" s="73" t="n">
        <v>0.6</v>
      </c>
      <c r="D15" s="46" t="inlineStr">
        <is>
          <t>Referência: KOM 2026 (material R$ 15,48 mi de R$ 25,79 mi = 60%). Material reconhecido no mês de início da execução; serviço rateado pelos dias de execução.</t>
        </is>
      </c>
    </row>
    <row r="16">
      <c r="A16" s="50" t="inlineStr">
        <is>
          <t>Restrição: encerramento contábil até</t>
        </is>
      </c>
      <c r="B16" s="74" t="n">
        <v>46708</v>
      </c>
      <c r="D16" s="21" t="inlineStr">
        <is>
          <t>Template KOM PMO-ETO (restrição padrão).</t>
        </is>
      </c>
    </row>
    <row r="18">
      <c r="A18" s="50" t="inlineStr">
        <is>
          <t>Feriados considerados (dias úteis)</t>
        </is>
      </c>
    </row>
    <row r="19">
      <c r="A19" s="75" t="inlineStr">
        <is>
          <t>Independência</t>
        </is>
      </c>
      <c r="B19" s="76" t="n">
        <v>46272</v>
      </c>
    </row>
    <row r="20">
      <c r="A20" s="75" t="inlineStr">
        <is>
          <t>N. Sra. Aparecida</t>
        </is>
      </c>
      <c r="B20" s="76" t="n">
        <v>46307</v>
      </c>
    </row>
    <row r="21">
      <c r="A21" s="75" t="inlineStr">
        <is>
          <t>Finados</t>
        </is>
      </c>
      <c r="B21" s="76" t="n">
        <v>46328</v>
      </c>
    </row>
    <row r="22">
      <c r="A22" s="75" t="inlineStr">
        <is>
          <t>Proclamação da República</t>
        </is>
      </c>
      <c r="B22" s="76" t="n">
        <v>46341</v>
      </c>
    </row>
    <row r="23">
      <c r="A23" s="75" t="inlineStr">
        <is>
          <t>Natal</t>
        </is>
      </c>
      <c r="B23" s="76" t="n">
        <v>46381</v>
      </c>
    </row>
    <row r="24">
      <c r="A24" s="75" t="inlineStr">
        <is>
          <t>Confraternização Universal</t>
        </is>
      </c>
      <c r="B24" s="76" t="n">
        <v>46388</v>
      </c>
    </row>
    <row r="25">
      <c r="A25" s="75" t="inlineStr">
        <is>
          <t>Sexta-feira Santa</t>
        </is>
      </c>
      <c r="B25" s="76" t="n">
        <v>46472</v>
      </c>
    </row>
    <row r="26">
      <c r="A26" s="75" t="inlineStr">
        <is>
          <t>Tiradentes</t>
        </is>
      </c>
      <c r="B26" s="76" t="n">
        <v>46498</v>
      </c>
    </row>
    <row r="27">
      <c r="A27" s="75" t="inlineStr">
        <is>
          <t>Dia do Trabalho</t>
        </is>
      </c>
      <c r="B27" s="76" t="n">
        <v>46508</v>
      </c>
    </row>
    <row r="28">
      <c r="A28" s="75" t="inlineStr">
        <is>
          <t>Corpus Christi</t>
        </is>
      </c>
      <c r="B28" s="76" t="n">
        <v>46534</v>
      </c>
    </row>
    <row r="29">
      <c r="A29" s="75" t="inlineStr">
        <is>
          <t>Independência</t>
        </is>
      </c>
      <c r="B29" s="76" t="n">
        <v>46637</v>
      </c>
    </row>
    <row r="30">
      <c r="A30" s="75" t="inlineStr">
        <is>
          <t>N. Sra. Aparecida</t>
        </is>
      </c>
      <c r="B30" s="76" t="n">
        <v>46672</v>
      </c>
    </row>
    <row r="31">
      <c r="A31" s="75" t="inlineStr">
        <is>
          <t>Finados</t>
        </is>
      </c>
      <c r="B31" s="76" t="n">
        <v>46693</v>
      </c>
    </row>
    <row r="32">
      <c r="A32" s="75" t="inlineStr">
        <is>
          <t>Proclamação da República</t>
        </is>
      </c>
      <c r="B32" s="76" t="n">
        <v>46706</v>
      </c>
    </row>
    <row r="33">
      <c r="A33" s="75" t="inlineStr">
        <is>
          <t>Natal</t>
        </is>
      </c>
      <c r="B33" s="76" t="n">
        <v>46746</v>
      </c>
    </row>
  </sheetData>
  <mergeCells count="2">
    <mergeCell ref="A2:E2"/>
    <mergeCell ref="D15:E15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2026-10-29T00:54:26Z</dcterms:created>
  <dcterms:modified xmlns:dcterms="http://purl.org/dc/terms/" xmlns:xsi="http://www.w3.org/2001/XMLSchema-instance" xsi:type="dcterms:W3CDTF">2026-10-29T00:54:27Z</dcterms:modified>
</cp:coreProperties>
</file>