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L_RT" sheetId="1" state="visible" r:id="rId1"/>
    <sheet xmlns:r="http://schemas.openxmlformats.org/officeDocument/2006/relationships" name="TripSaver" sheetId="2" state="visible" r:id="rId2"/>
    <sheet xmlns:r="http://schemas.openxmlformats.org/officeDocument/2006/relationships" name="Notas" sheetId="3" state="visible" r:id="rId3"/>
  </sheets>
  <definedNames>
    <definedName name="_xlnm._FilterDatabase" localSheetId="0" hidden="1">'RL_RT'!$A$4:$V$26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0.0"/>
    <numFmt numFmtId="166" formatCode="0.000000"/>
    <numFmt numFmtId="167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1F1F4C"/>
      <sz val="13"/>
    </font>
    <font>
      <name val="Arial"/>
      <i val="1"/>
      <color rgb="004D4D4D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b val="1"/>
      <color rgb="001F1F4C"/>
      <sz val="12"/>
    </font>
    <font>
      <name val="Arial"/>
      <b val="1"/>
      <color rgb="001F1F4C"/>
      <sz val="10"/>
    </font>
    <font>
      <name val="Arial"/>
      <color rgb="004D4D4D"/>
      <sz val="10"/>
    </font>
  </fonts>
  <fills count="4">
    <fill>
      <patternFill/>
    </fill>
    <fill>
      <patternFill patternType="gray125"/>
    </fill>
    <fill>
      <patternFill patternType="solid">
        <fgColor rgb="001F1F4C"/>
      </patternFill>
    </fill>
    <fill>
      <patternFill patternType="solid">
        <fgColor rgb="00F3F5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49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5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49" fontId="4" fillId="3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49" fontId="4" fillId="0" borderId="1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31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1" customWidth="1" min="5" max="5"/>
    <col width="12" customWidth="1" min="6" max="6"/>
    <col width="9" customWidth="1" min="7" max="7"/>
    <col width="13" customWidth="1" min="8" max="8"/>
    <col width="36" customWidth="1" min="9" max="9"/>
    <col width="14" customWidth="1" min="10" max="10"/>
    <col width="26" customWidth="1" min="11" max="11"/>
    <col width="13" customWidth="1" min="12" max="12"/>
    <col width="18" customWidth="1" min="13" max="13"/>
    <col width="30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4" customWidth="1" min="20" max="20"/>
    <col width="14" customWidth="1" min="21" max="21"/>
    <col width="70" customWidth="1" min="22" max="22"/>
  </cols>
  <sheetData>
    <row r="1">
      <c r="A1" s="1" t="inlineStr">
        <is>
          <t>Relação de religadores (RL) e reguladores de tensão (RT) a instalar – PN 2027  |  Estudo de simulação de comunicação (Telecom)</t>
        </is>
      </c>
    </row>
    <row r="2" ht="28" customHeight="1">
      <c r="A2" s="2" t="inlineStr">
        <is>
          <t>Energisa Tocantins · DCMD · GP: Sandro Padilha Dias Junior · 12 SIGCOs · uma linha por ponto de instalação (13 RL e 9 RT, incluindo 1 RL remanejado). Fonte: fichas dos projetos 2027 e Cadastro CAPEX; datas: cronograma WBS (v3). Valores "não informado" não constam das fichas – ver aba Notas.</t>
        </is>
      </c>
    </row>
    <row r="4" ht="42" customHeight="1">
      <c r="A4" s="3" t="inlineStr">
        <is>
          <t>Nº</t>
        </is>
      </c>
      <c r="B4" s="3" t="inlineStr">
        <is>
          <t>Regional</t>
        </is>
      </c>
      <c r="C4" s="3" t="inlineStr">
        <is>
          <t>Polo (validar com COCM)</t>
        </is>
      </c>
      <c r="D4" s="3" t="inlineStr">
        <is>
          <t>SIGCO</t>
        </is>
      </c>
      <c r="E4" s="3" t="inlineStr">
        <is>
          <t>Bloco (cronograma)</t>
        </is>
      </c>
      <c r="F4" s="3" t="inlineStr">
        <is>
          <t>Equipamento</t>
        </is>
      </c>
      <c r="G4" s="3" t="inlineStr">
        <is>
          <t>Tensão (kV)</t>
        </is>
      </c>
      <c r="H4" s="3" t="inlineStr">
        <is>
          <t>Ação</t>
        </is>
      </c>
      <c r="I4" s="3" t="inlineStr">
        <is>
          <t>Projeto / alimentador</t>
        </is>
      </c>
      <c r="J4" s="3" t="inlineStr">
        <is>
          <t>Cód. alimentador</t>
        </is>
      </c>
      <c r="K4" s="3" t="inlineStr">
        <is>
          <t>SE fonte</t>
        </is>
      </c>
      <c r="L4" s="3" t="inlineStr">
        <is>
          <t>Topologia</t>
        </is>
      </c>
      <c r="M4" s="3" t="inlineStr">
        <is>
          <t>Tipo de referência</t>
        </is>
      </c>
      <c r="N4" s="3" t="inlineStr">
        <is>
          <t>Ponto de referência (ID EO / chave / UTM)</t>
        </is>
      </c>
      <c r="O4" s="3" t="inlineStr">
        <is>
          <t>UTM – fuso</t>
        </is>
      </c>
      <c r="P4" s="3" t="inlineStr">
        <is>
          <t>UTM – E (m)</t>
        </is>
      </c>
      <c r="Q4" s="3" t="inlineStr">
        <is>
          <t>UTM – N (m)</t>
        </is>
      </c>
      <c r="R4" s="3" t="inlineStr">
        <is>
          <t>Latitude (convertida)</t>
        </is>
      </c>
      <c r="S4" s="3" t="inlineStr">
        <is>
          <t>Longitude (convertida)</t>
        </is>
      </c>
      <c r="T4" s="3" t="inlineStr">
        <is>
          <t>Início da execução prevista</t>
        </is>
      </c>
      <c r="U4" s="3" t="inlineStr">
        <is>
          <t>Equip. em operação prevista</t>
        </is>
      </c>
      <c r="V4" s="3" t="inlineStr">
        <is>
          <t>Observações</t>
        </is>
      </c>
    </row>
    <row r="5" ht="30" customHeight="1">
      <c r="A5" s="4" t="n">
        <v>1</v>
      </c>
      <c r="B5" s="4" t="inlineStr">
        <is>
          <t>Norte</t>
        </is>
      </c>
      <c r="C5" s="5" t="inlineStr">
        <is>
          <t>Araguaína</t>
        </is>
      </c>
      <c r="D5" s="4" t="n">
        <v>89249</v>
      </c>
      <c r="E5" s="4" t="inlineStr">
        <is>
          <t>B3</t>
        </is>
      </c>
      <c r="F5" s="4" t="inlineStr">
        <is>
          <t>RT</t>
        </is>
      </c>
      <c r="G5" s="6" t="n">
        <v>34.5</v>
      </c>
      <c r="H5" s="5" t="inlineStr">
        <is>
          <t>Instalação</t>
        </is>
      </c>
      <c r="I5" s="7" t="inlineStr">
        <is>
          <t>LD Araguaína - Babaçulândia (2AR0)</t>
        </is>
      </c>
      <c r="J5" s="5" t="inlineStr">
        <is>
          <t>não informado</t>
        </is>
      </c>
      <c r="K5" s="7" t="inlineStr">
        <is>
          <t>SE Araguaína</t>
        </is>
      </c>
      <c r="L5" s="5" t="inlineStr">
        <is>
          <t>não informada</t>
        </is>
      </c>
      <c r="M5" s="5" t="inlineStr">
        <is>
          <t>ID EO</t>
        </is>
      </c>
      <c r="N5" s="8" t="inlineStr">
        <is>
          <t>535352</t>
        </is>
      </c>
      <c r="O5" s="4" t="n"/>
      <c r="P5" s="9" t="n"/>
      <c r="Q5" s="9" t="n"/>
      <c r="R5" s="10" t="n"/>
      <c r="S5" s="10" t="n"/>
      <c r="T5" s="11" t="n">
        <v>46549</v>
      </c>
      <c r="U5" s="11" t="n">
        <v>46619</v>
      </c>
      <c r="V5" s="7" t="inlineStr">
        <is>
          <t>Lado fonte: SE Araguaína.</t>
        </is>
      </c>
    </row>
    <row r="6" ht="30" customHeight="1">
      <c r="A6" s="12" t="n">
        <v>2</v>
      </c>
      <c r="B6" s="12" t="inlineStr">
        <is>
          <t>Norte</t>
        </is>
      </c>
      <c r="C6" s="13" t="inlineStr">
        <is>
          <t>Araguaína</t>
        </is>
      </c>
      <c r="D6" s="12" t="n">
        <v>89267</v>
      </c>
      <c r="E6" s="12" t="inlineStr">
        <is>
          <t>B2</t>
        </is>
      </c>
      <c r="F6" s="12" t="inlineStr">
        <is>
          <t>RT</t>
        </is>
      </c>
      <c r="G6" s="14" t="n">
        <v>34.5</v>
      </c>
      <c r="H6" s="13" t="inlineStr">
        <is>
          <t>Instalação</t>
        </is>
      </c>
      <c r="I6" s="15" t="inlineStr">
        <is>
          <t>LD Xambioá II - Araguanã (2XB2)</t>
        </is>
      </c>
      <c r="J6" s="13" t="inlineStr">
        <is>
          <t>não informado</t>
        </is>
      </c>
      <c r="K6" s="15" t="inlineStr">
        <is>
          <t>SE Xambioá II</t>
        </is>
      </c>
      <c r="L6" s="13" t="inlineStr">
        <is>
          <t>não informada</t>
        </is>
      </c>
      <c r="M6" s="13" t="inlineStr">
        <is>
          <t>ID EO</t>
        </is>
      </c>
      <c r="N6" s="16" t="inlineStr">
        <is>
          <t>298105</t>
        </is>
      </c>
      <c r="O6" s="12" t="n"/>
      <c r="P6" s="17" t="n"/>
      <c r="Q6" s="17" t="n"/>
      <c r="R6" s="18" t="n"/>
      <c r="S6" s="18" t="n"/>
      <c r="T6" s="19" t="n">
        <v>46483</v>
      </c>
      <c r="U6" s="19" t="n">
        <v>46553</v>
      </c>
      <c r="V6" s="15" t="inlineStr">
        <is>
          <t>RT 1 de 2. Lado fonte: SE Xambioá II.</t>
        </is>
      </c>
    </row>
    <row r="7" ht="30" customHeight="1">
      <c r="A7" s="4" t="n">
        <v>3</v>
      </c>
      <c r="B7" s="4" t="inlineStr">
        <is>
          <t>Norte</t>
        </is>
      </c>
      <c r="C7" s="5" t="inlineStr">
        <is>
          <t>Araguaína</t>
        </is>
      </c>
      <c r="D7" s="4" t="n">
        <v>89267</v>
      </c>
      <c r="E7" s="4" t="inlineStr">
        <is>
          <t>B2</t>
        </is>
      </c>
      <c r="F7" s="4" t="inlineStr">
        <is>
          <t>RT</t>
        </is>
      </c>
      <c r="G7" s="6" t="n">
        <v>34.5</v>
      </c>
      <c r="H7" s="5" t="inlineStr">
        <is>
          <t>Instalação</t>
        </is>
      </c>
      <c r="I7" s="7" t="inlineStr">
        <is>
          <t>LD Xambioá II - Araguanã (2XB2)</t>
        </is>
      </c>
      <c r="J7" s="5" t="inlineStr">
        <is>
          <t>não informado</t>
        </is>
      </c>
      <c r="K7" s="7" t="inlineStr">
        <is>
          <t>SE Xambioá II</t>
        </is>
      </c>
      <c r="L7" s="5" t="inlineStr">
        <is>
          <t>não informada</t>
        </is>
      </c>
      <c r="M7" s="5" t="inlineStr">
        <is>
          <t>ID EO</t>
        </is>
      </c>
      <c r="N7" s="8" t="inlineStr">
        <is>
          <t>38281041</t>
        </is>
      </c>
      <c r="O7" s="4" t="n"/>
      <c r="P7" s="9" t="n"/>
      <c r="Q7" s="9" t="n"/>
      <c r="R7" s="10" t="n"/>
      <c r="S7" s="10" t="n"/>
      <c r="T7" s="11" t="n">
        <v>46483</v>
      </c>
      <c r="U7" s="11" t="n">
        <v>46553</v>
      </c>
      <c r="V7" s="7" t="inlineStr">
        <is>
          <t>RT 2 de 2. Lado fonte: SE Xambioá II.</t>
        </is>
      </c>
    </row>
    <row r="8" ht="30" customHeight="1">
      <c r="A8" s="12" t="n">
        <v>4</v>
      </c>
      <c r="B8" s="12" t="inlineStr">
        <is>
          <t>Norte</t>
        </is>
      </c>
      <c r="C8" s="13" t="inlineStr">
        <is>
          <t>Araguaína</t>
        </is>
      </c>
      <c r="D8" s="12" t="n">
        <v>92118</v>
      </c>
      <c r="E8" s="12" t="inlineStr">
        <is>
          <t>B1</t>
        </is>
      </c>
      <c r="F8" s="12" t="inlineStr">
        <is>
          <t>RL</t>
        </is>
      </c>
      <c r="G8" s="14" t="n">
        <v>13.8</v>
      </c>
      <c r="H8" s="13" t="inlineStr">
        <is>
          <t>Instalação</t>
        </is>
      </c>
      <c r="I8" s="15" t="inlineStr">
        <is>
          <t>4 de Araguaína IV</t>
        </is>
      </c>
      <c r="J8" s="13" t="inlineStr">
        <is>
          <t>não informado</t>
        </is>
      </c>
      <c r="K8" s="15" t="inlineStr">
        <is>
          <t>SE Araguaína IV (pelo nome do alimentador)</t>
        </is>
      </c>
      <c r="L8" s="13" t="inlineStr">
        <is>
          <t>não informada</t>
        </is>
      </c>
      <c r="M8" s="13" t="inlineStr">
        <is>
          <t>ID EO</t>
        </is>
      </c>
      <c r="N8" s="16" t="inlineStr">
        <is>
          <t>551144</t>
        </is>
      </c>
      <c r="O8" s="12" t="n"/>
      <c r="P8" s="17" t="n"/>
      <c r="Q8" s="17" t="n"/>
      <c r="R8" s="18" t="n"/>
      <c r="S8" s="18" t="n"/>
      <c r="T8" s="19" t="n">
        <v>46483</v>
      </c>
      <c r="U8" s="19" t="n">
        <v>46553</v>
      </c>
      <c r="V8" s="15" t="inlineStr"/>
    </row>
    <row r="9" ht="30" customHeight="1">
      <c r="A9" s="4" t="n">
        <v>5</v>
      </c>
      <c r="B9" s="4" t="inlineStr">
        <is>
          <t>Centro</t>
        </is>
      </c>
      <c r="C9" s="5" t="inlineStr">
        <is>
          <t>Palmas</t>
        </is>
      </c>
      <c r="D9" s="4" t="n">
        <v>90811</v>
      </c>
      <c r="E9" s="4" t="inlineStr">
        <is>
          <t>B4</t>
        </is>
      </c>
      <c r="F9" s="4" t="inlineStr">
        <is>
          <t>RL</t>
        </is>
      </c>
      <c r="G9" s="6" t="n">
        <v>34.5</v>
      </c>
      <c r="H9" s="5" t="inlineStr">
        <is>
          <t>Instalação</t>
        </is>
      </c>
      <c r="I9" s="7" t="inlineStr">
        <is>
          <t>LD UHE Isamu - Ponte Alta (1UI1)</t>
        </is>
      </c>
      <c r="J9" s="5" t="inlineStr">
        <is>
          <t>LD03046026</t>
        </is>
      </c>
      <c r="K9" s="7" t="inlineStr">
        <is>
          <t>não informado</t>
        </is>
      </c>
      <c r="L9" s="5" t="inlineStr">
        <is>
          <t>não informada</t>
        </is>
      </c>
      <c r="M9" s="5" t="inlineStr">
        <is>
          <t>ID EO (poste)</t>
        </is>
      </c>
      <c r="N9" s="8" t="inlineStr">
        <is>
          <t>495670</t>
        </is>
      </c>
      <c r="O9" s="4" t="n"/>
      <c r="P9" s="9" t="n"/>
      <c r="Q9" s="9" t="n"/>
      <c r="R9" s="10" t="n"/>
      <c r="S9" s="10" t="n"/>
      <c r="T9" s="11" t="n">
        <v>46483</v>
      </c>
      <c r="U9" s="11" t="n">
        <v>46568</v>
      </c>
      <c r="V9" s="7" t="inlineStr">
        <is>
          <t>RL 1 de 4.</t>
        </is>
      </c>
    </row>
    <row r="10" ht="30" customHeight="1">
      <c r="A10" s="12" t="n">
        <v>6</v>
      </c>
      <c r="B10" s="12" t="inlineStr">
        <is>
          <t>Centro</t>
        </is>
      </c>
      <c r="C10" s="13" t="inlineStr">
        <is>
          <t>Palmas</t>
        </is>
      </c>
      <c r="D10" s="12" t="n">
        <v>90811</v>
      </c>
      <c r="E10" s="12" t="inlineStr">
        <is>
          <t>B4</t>
        </is>
      </c>
      <c r="F10" s="12" t="inlineStr">
        <is>
          <t>RL</t>
        </is>
      </c>
      <c r="G10" s="14" t="n">
        <v>34.5</v>
      </c>
      <c r="H10" s="13" t="inlineStr">
        <is>
          <t>Instalação</t>
        </is>
      </c>
      <c r="I10" s="15" t="inlineStr">
        <is>
          <t>LD UHE Isamu - Ponte Alta (1UI1)</t>
        </is>
      </c>
      <c r="J10" s="13" t="inlineStr">
        <is>
          <t>LD03046026</t>
        </is>
      </c>
      <c r="K10" s="15" t="inlineStr">
        <is>
          <t>não informado</t>
        </is>
      </c>
      <c r="L10" s="13" t="inlineStr">
        <is>
          <t>não informada</t>
        </is>
      </c>
      <c r="M10" s="13" t="inlineStr">
        <is>
          <t>Chave</t>
        </is>
      </c>
      <c r="N10" s="16" t="inlineStr">
        <is>
          <t>0312716256</t>
        </is>
      </c>
      <c r="O10" s="12" t="n"/>
      <c r="P10" s="17" t="n"/>
      <c r="Q10" s="17" t="n"/>
      <c r="R10" s="18" t="n"/>
      <c r="S10" s="18" t="n"/>
      <c r="T10" s="19" t="n">
        <v>46483</v>
      </c>
      <c r="U10" s="19" t="n">
        <v>46568</v>
      </c>
      <c r="V10" s="15" t="inlineStr">
        <is>
          <t>RL 2 de 4. Instalado também para acionamento remoto do Reator BR12716256.</t>
        </is>
      </c>
    </row>
    <row r="11" ht="30" customHeight="1">
      <c r="A11" s="4" t="n">
        <v>7</v>
      </c>
      <c r="B11" s="4" t="inlineStr">
        <is>
          <t>Centro</t>
        </is>
      </c>
      <c r="C11" s="5" t="inlineStr">
        <is>
          <t>Palmas</t>
        </is>
      </c>
      <c r="D11" s="4" t="n">
        <v>90811</v>
      </c>
      <c r="E11" s="4" t="inlineStr">
        <is>
          <t>B4</t>
        </is>
      </c>
      <c r="F11" s="4" t="inlineStr">
        <is>
          <t>RL</t>
        </is>
      </c>
      <c r="G11" s="6" t="n">
        <v>34.5</v>
      </c>
      <c r="H11" s="5" t="inlineStr">
        <is>
          <t>Instalação</t>
        </is>
      </c>
      <c r="I11" s="7" t="inlineStr">
        <is>
          <t>LD UHE Isamu - Ponte Alta (1UI1)</t>
        </is>
      </c>
      <c r="J11" s="5" t="inlineStr">
        <is>
          <t>LD03046026</t>
        </is>
      </c>
      <c r="K11" s="7" t="inlineStr">
        <is>
          <t>não informado</t>
        </is>
      </c>
      <c r="L11" s="5" t="inlineStr">
        <is>
          <t>não informada</t>
        </is>
      </c>
      <c r="M11" s="5" t="inlineStr">
        <is>
          <t>Chave</t>
        </is>
      </c>
      <c r="N11" s="8" t="inlineStr">
        <is>
          <t>8800010257</t>
        </is>
      </c>
      <c r="O11" s="4" t="n"/>
      <c r="P11" s="9" t="n"/>
      <c r="Q11" s="9" t="n"/>
      <c r="R11" s="10" t="n"/>
      <c r="S11" s="10" t="n"/>
      <c r="T11" s="11" t="n">
        <v>46483</v>
      </c>
      <c r="U11" s="11" t="n">
        <v>46568</v>
      </c>
      <c r="V11" s="7" t="inlineStr">
        <is>
          <t>RL 3 de 4.</t>
        </is>
      </c>
    </row>
    <row r="12" ht="30" customHeight="1">
      <c r="A12" s="12" t="n">
        <v>8</v>
      </c>
      <c r="B12" s="12" t="inlineStr">
        <is>
          <t>Centro</t>
        </is>
      </c>
      <c r="C12" s="13" t="inlineStr">
        <is>
          <t>Palmas</t>
        </is>
      </c>
      <c r="D12" s="12" t="n">
        <v>90811</v>
      </c>
      <c r="E12" s="12" t="inlineStr">
        <is>
          <t>B4</t>
        </is>
      </c>
      <c r="F12" s="12" t="inlineStr">
        <is>
          <t>RL</t>
        </is>
      </c>
      <c r="G12" s="14" t="n">
        <v>34.5</v>
      </c>
      <c r="H12" s="13" t="inlineStr">
        <is>
          <t>Instalação</t>
        </is>
      </c>
      <c r="I12" s="15" t="inlineStr">
        <is>
          <t>LD UHE Isamu - Ponte Alta (1UI1)</t>
        </is>
      </c>
      <c r="J12" s="13" t="inlineStr">
        <is>
          <t>LD03046026</t>
        </is>
      </c>
      <c r="K12" s="15" t="inlineStr">
        <is>
          <t>não informado</t>
        </is>
      </c>
      <c r="L12" s="13" t="inlineStr">
        <is>
          <t>não informada</t>
        </is>
      </c>
      <c r="M12" s="13" t="inlineStr">
        <is>
          <t>Chave</t>
        </is>
      </c>
      <c r="N12" s="16" t="inlineStr">
        <is>
          <t>3330781096</t>
        </is>
      </c>
      <c r="O12" s="12" t="n"/>
      <c r="P12" s="17" t="n"/>
      <c r="Q12" s="17" t="n"/>
      <c r="R12" s="18" t="n"/>
      <c r="S12" s="18" t="n"/>
      <c r="T12" s="19" t="n">
        <v>46483</v>
      </c>
      <c r="U12" s="19" t="n">
        <v>46568</v>
      </c>
      <c r="V12" s="15" t="inlineStr">
        <is>
          <t>RL 4 de 4.</t>
        </is>
      </c>
    </row>
    <row r="13" ht="30" customHeight="1">
      <c r="A13" s="4" t="n">
        <v>9</v>
      </c>
      <c r="B13" s="4" t="inlineStr">
        <is>
          <t>Centro</t>
        </is>
      </c>
      <c r="C13" s="5" t="inlineStr">
        <is>
          <t>Palmas</t>
        </is>
      </c>
      <c r="D13" s="4" t="n">
        <v>90811</v>
      </c>
      <c r="E13" s="4" t="inlineStr">
        <is>
          <t>B5</t>
        </is>
      </c>
      <c r="F13" s="4" t="inlineStr">
        <is>
          <t>RT</t>
        </is>
      </c>
      <c r="G13" s="6" t="n">
        <v>34.5</v>
      </c>
      <c r="H13" s="5" t="inlineStr">
        <is>
          <t>Instalação</t>
        </is>
      </c>
      <c r="I13" s="7" t="inlineStr">
        <is>
          <t>LD UHE Isamu - Ponte Alta (1UI1)</t>
        </is>
      </c>
      <c r="J13" s="5" t="inlineStr">
        <is>
          <t>LD03046026</t>
        </is>
      </c>
      <c r="K13" s="7" t="inlineStr">
        <is>
          <t>não informado</t>
        </is>
      </c>
      <c r="L13" s="5" t="inlineStr">
        <is>
          <t>não informada</t>
        </is>
      </c>
      <c r="M13" s="5" t="inlineStr">
        <is>
          <t>ID EO (poste)</t>
        </is>
      </c>
      <c r="N13" s="8" t="inlineStr">
        <is>
          <t>33356216</t>
        </is>
      </c>
      <c r="O13" s="4" t="n"/>
      <c r="P13" s="9" t="n"/>
      <c r="Q13" s="9" t="n"/>
      <c r="R13" s="10" t="n"/>
      <c r="S13" s="10" t="n"/>
      <c r="T13" s="11" t="n">
        <v>46483</v>
      </c>
      <c r="U13" s="11" t="n">
        <v>46553</v>
      </c>
      <c r="V13" s="7" t="inlineStr">
        <is>
          <t>RT 1 de 3.</t>
        </is>
      </c>
    </row>
    <row r="14" ht="30" customHeight="1">
      <c r="A14" s="12" t="n">
        <v>10</v>
      </c>
      <c r="B14" s="12" t="inlineStr">
        <is>
          <t>Centro</t>
        </is>
      </c>
      <c r="C14" s="13" t="inlineStr">
        <is>
          <t>Palmas</t>
        </is>
      </c>
      <c r="D14" s="12" t="n">
        <v>90811</v>
      </c>
      <c r="E14" s="12" t="inlineStr">
        <is>
          <t>B5</t>
        </is>
      </c>
      <c r="F14" s="12" t="inlineStr">
        <is>
          <t>RT</t>
        </is>
      </c>
      <c r="G14" s="14" t="n">
        <v>34.5</v>
      </c>
      <c r="H14" s="13" t="inlineStr">
        <is>
          <t>Instalação</t>
        </is>
      </c>
      <c r="I14" s="15" t="inlineStr">
        <is>
          <t>LD UHE Isamu - Ponte Alta (1UI1)</t>
        </is>
      </c>
      <c r="J14" s="13" t="inlineStr">
        <is>
          <t>LD03046026</t>
        </is>
      </c>
      <c r="K14" s="15" t="inlineStr">
        <is>
          <t>não informado</t>
        </is>
      </c>
      <c r="L14" s="13" t="inlineStr">
        <is>
          <t>não informada</t>
        </is>
      </c>
      <c r="M14" s="13" t="inlineStr">
        <is>
          <t>ID EO (poste)</t>
        </is>
      </c>
      <c r="N14" s="16" t="inlineStr">
        <is>
          <t>498478</t>
        </is>
      </c>
      <c r="O14" s="12" t="n"/>
      <c r="P14" s="17" t="n"/>
      <c r="Q14" s="17" t="n"/>
      <c r="R14" s="18" t="n"/>
      <c r="S14" s="18" t="n"/>
      <c r="T14" s="19" t="n">
        <v>46483</v>
      </c>
      <c r="U14" s="19" t="n">
        <v>46553</v>
      </c>
      <c r="V14" s="15" t="inlineStr">
        <is>
          <t>RT 2 de 3.</t>
        </is>
      </c>
    </row>
    <row r="15" ht="30" customHeight="1">
      <c r="A15" s="4" t="n">
        <v>11</v>
      </c>
      <c r="B15" s="4" t="inlineStr">
        <is>
          <t>Centro</t>
        </is>
      </c>
      <c r="C15" s="5" t="inlineStr">
        <is>
          <t>Palmas</t>
        </is>
      </c>
      <c r="D15" s="4" t="n">
        <v>90811</v>
      </c>
      <c r="E15" s="4" t="inlineStr">
        <is>
          <t>B5</t>
        </is>
      </c>
      <c r="F15" s="4" t="inlineStr">
        <is>
          <t>RT</t>
        </is>
      </c>
      <c r="G15" s="6" t="n">
        <v>34.5</v>
      </c>
      <c r="H15" s="5" t="inlineStr">
        <is>
          <t>Instalação</t>
        </is>
      </c>
      <c r="I15" s="7" t="inlineStr">
        <is>
          <t>LD UHE Isamu - Ponte Alta (1UI1)</t>
        </is>
      </c>
      <c r="J15" s="5" t="inlineStr">
        <is>
          <t>LD03046026</t>
        </is>
      </c>
      <c r="K15" s="7" t="inlineStr">
        <is>
          <t>não informado</t>
        </is>
      </c>
      <c r="L15" s="5" t="inlineStr">
        <is>
          <t>não informada</t>
        </is>
      </c>
      <c r="M15" s="5" t="inlineStr">
        <is>
          <t>Chave</t>
        </is>
      </c>
      <c r="N15" s="8" t="inlineStr">
        <is>
          <t>8810033256</t>
        </is>
      </c>
      <c r="O15" s="4" t="n"/>
      <c r="P15" s="9" t="n"/>
      <c r="Q15" s="9" t="n"/>
      <c r="R15" s="10" t="n"/>
      <c r="S15" s="10" t="n"/>
      <c r="T15" s="11" t="n">
        <v>46483</v>
      </c>
      <c r="U15" s="11" t="n">
        <v>46553</v>
      </c>
      <c r="V15" s="7" t="inlineStr">
        <is>
          <t>RT 3 de 3 (instalado no local da chave).</t>
        </is>
      </c>
    </row>
    <row r="16" ht="30" customHeight="1">
      <c r="A16" s="12" t="n">
        <v>12</v>
      </c>
      <c r="B16" s="12" t="inlineStr">
        <is>
          <t>Centro</t>
        </is>
      </c>
      <c r="C16" s="13" t="inlineStr">
        <is>
          <t>Palmas</t>
        </is>
      </c>
      <c r="D16" s="12" t="n">
        <v>92094</v>
      </c>
      <c r="E16" s="12" t="inlineStr">
        <is>
          <t>B11</t>
        </is>
      </c>
      <c r="F16" s="12" t="inlineStr">
        <is>
          <t>RL</t>
        </is>
      </c>
      <c r="G16" s="14" t="n">
        <v>34.5</v>
      </c>
      <c r="H16" s="13" t="inlineStr">
        <is>
          <t>Instalação</t>
        </is>
      </c>
      <c r="I16" s="15" t="inlineStr">
        <is>
          <t>LD Palmas - Aparecida do Rio Negro</t>
        </is>
      </c>
      <c r="J16" s="13" t="inlineStr">
        <is>
          <t>LD01059122</t>
        </is>
      </c>
      <c r="K16" s="15" t="inlineStr">
        <is>
          <t>não informado</t>
        </is>
      </c>
      <c r="L16" s="13" t="inlineStr">
        <is>
          <t>não informada</t>
        </is>
      </c>
      <c r="M16" s="13" t="inlineStr">
        <is>
          <t>Chave</t>
        </is>
      </c>
      <c r="N16" s="16" t="inlineStr">
        <is>
          <t>8800756083</t>
        </is>
      </c>
      <c r="O16" s="12" t="n"/>
      <c r="P16" s="17" t="n"/>
      <c r="Q16" s="17" t="n"/>
      <c r="R16" s="18" t="n"/>
      <c r="S16" s="18" t="n"/>
      <c r="T16" s="19" t="n">
        <v>46493</v>
      </c>
      <c r="U16" s="19" t="n">
        <v>46563</v>
      </c>
      <c r="V16" s="15" t="inlineStr">
        <is>
          <t>RL 1 de 3.</t>
        </is>
      </c>
    </row>
    <row r="17" ht="30" customHeight="1">
      <c r="A17" s="4" t="n">
        <v>13</v>
      </c>
      <c r="B17" s="4" t="inlineStr">
        <is>
          <t>Centro</t>
        </is>
      </c>
      <c r="C17" s="5" t="inlineStr">
        <is>
          <t>Palmas</t>
        </is>
      </c>
      <c r="D17" s="4" t="n">
        <v>92094</v>
      </c>
      <c r="E17" s="4" t="inlineStr">
        <is>
          <t>B11</t>
        </is>
      </c>
      <c r="F17" s="4" t="inlineStr">
        <is>
          <t>RL</t>
        </is>
      </c>
      <c r="G17" s="6" t="n">
        <v>34.5</v>
      </c>
      <c r="H17" s="5" t="inlineStr">
        <is>
          <t>Instalação</t>
        </is>
      </c>
      <c r="I17" s="7" t="inlineStr">
        <is>
          <t>LD Palmas - Aparecida do Rio Negro</t>
        </is>
      </c>
      <c r="J17" s="5" t="inlineStr">
        <is>
          <t>LD01059122</t>
        </is>
      </c>
      <c r="K17" s="7" t="inlineStr">
        <is>
          <t>não informado</t>
        </is>
      </c>
      <c r="L17" s="5" t="inlineStr">
        <is>
          <t>não informada</t>
        </is>
      </c>
      <c r="M17" s="5" t="inlineStr">
        <is>
          <t>Chave</t>
        </is>
      </c>
      <c r="N17" s="8" t="inlineStr">
        <is>
          <t>8841714092</t>
        </is>
      </c>
      <c r="O17" s="4" t="n"/>
      <c r="P17" s="9" t="n"/>
      <c r="Q17" s="9" t="n"/>
      <c r="R17" s="10" t="n"/>
      <c r="S17" s="10" t="n"/>
      <c r="T17" s="11" t="n">
        <v>46493</v>
      </c>
      <c r="U17" s="11" t="n">
        <v>46563</v>
      </c>
      <c r="V17" s="7" t="inlineStr">
        <is>
          <t>RL 2 de 3.</t>
        </is>
      </c>
    </row>
    <row r="18" ht="30" customHeight="1">
      <c r="A18" s="12" t="n">
        <v>14</v>
      </c>
      <c r="B18" s="12" t="inlineStr">
        <is>
          <t>Centro</t>
        </is>
      </c>
      <c r="C18" s="13" t="inlineStr">
        <is>
          <t>Palmas</t>
        </is>
      </c>
      <c r="D18" s="12" t="n">
        <v>92094</v>
      </c>
      <c r="E18" s="12" t="inlineStr">
        <is>
          <t>B11</t>
        </is>
      </c>
      <c r="F18" s="12" t="inlineStr">
        <is>
          <t>RL</t>
        </is>
      </c>
      <c r="G18" s="14" t="n">
        <v>34.5</v>
      </c>
      <c r="H18" s="13" t="inlineStr">
        <is>
          <t>Instalação</t>
        </is>
      </c>
      <c r="I18" s="15" t="inlineStr">
        <is>
          <t>LD Palmas - Aparecida do Rio Negro</t>
        </is>
      </c>
      <c r="J18" s="13" t="inlineStr">
        <is>
          <t>LD01059122</t>
        </is>
      </c>
      <c r="K18" s="15" t="inlineStr">
        <is>
          <t>não informado</t>
        </is>
      </c>
      <c r="L18" s="13" t="inlineStr">
        <is>
          <t>não informada</t>
        </is>
      </c>
      <c r="M18" s="13" t="inlineStr">
        <is>
          <t>ID EO</t>
        </is>
      </c>
      <c r="N18" s="16" t="inlineStr">
        <is>
          <t>49973587</t>
        </is>
      </c>
      <c r="O18" s="12" t="n"/>
      <c r="P18" s="17" t="n"/>
      <c r="Q18" s="17" t="n"/>
      <c r="R18" s="18" t="n"/>
      <c r="S18" s="18" t="n"/>
      <c r="T18" s="19" t="n">
        <v>46493</v>
      </c>
      <c r="U18" s="19" t="n">
        <v>46563</v>
      </c>
      <c r="V18" s="15" t="inlineStr">
        <is>
          <t>RL 3 de 3.</t>
        </is>
      </c>
    </row>
    <row r="19" ht="30" customHeight="1">
      <c r="A19" s="4" t="n">
        <v>15</v>
      </c>
      <c r="B19" s="4" t="inlineStr">
        <is>
          <t>Centro</t>
        </is>
      </c>
      <c r="C19" s="5" t="inlineStr">
        <is>
          <t>Palmas</t>
        </is>
      </c>
      <c r="D19" s="4" t="n">
        <v>92095</v>
      </c>
      <c r="E19" s="4" t="inlineStr">
        <is>
          <t>B6</t>
        </is>
      </c>
      <c r="F19" s="4" t="inlineStr">
        <is>
          <t>RL</t>
        </is>
      </c>
      <c r="G19" s="6" t="n">
        <v>34.5</v>
      </c>
      <c r="H19" s="5" t="inlineStr">
        <is>
          <t>Instalação</t>
        </is>
      </c>
      <c r="I19" s="7" t="inlineStr">
        <is>
          <t>LD Palmas - Lajeado</t>
        </is>
      </c>
      <c r="J19" s="5" t="inlineStr">
        <is>
          <t>LD03059122</t>
        </is>
      </c>
      <c r="K19" s="7" t="inlineStr">
        <is>
          <t>não informado</t>
        </is>
      </c>
      <c r="L19" s="5" t="inlineStr">
        <is>
          <t>não informada</t>
        </is>
      </c>
      <c r="M19" s="5" t="inlineStr">
        <is>
          <t>ID EO (poste)</t>
        </is>
      </c>
      <c r="N19" s="8" t="inlineStr">
        <is>
          <t>425776</t>
        </is>
      </c>
      <c r="O19" s="4" t="n"/>
      <c r="P19" s="9" t="n"/>
      <c r="Q19" s="9" t="n"/>
      <c r="R19" s="10" t="n"/>
      <c r="S19" s="10" t="n"/>
      <c r="T19" s="11" t="n">
        <v>46483</v>
      </c>
      <c r="U19" s="11" t="n">
        <v>46553</v>
      </c>
      <c r="V19" s="7" t="inlineStr"/>
    </row>
    <row r="20" ht="30" customHeight="1">
      <c r="A20" s="12" t="n">
        <v>16</v>
      </c>
      <c r="B20" s="12" t="inlineStr">
        <is>
          <t>Centro</t>
        </is>
      </c>
      <c r="C20" s="13" t="inlineStr">
        <is>
          <t>Palmas</t>
        </is>
      </c>
      <c r="D20" s="12" t="n">
        <v>92101</v>
      </c>
      <c r="E20" s="12" t="inlineStr">
        <is>
          <t>B7</t>
        </is>
      </c>
      <c r="F20" s="12" t="inlineStr">
        <is>
          <t>RL</t>
        </is>
      </c>
      <c r="G20" s="14" t="n">
        <v>13.8</v>
      </c>
      <c r="H20" s="13" t="inlineStr">
        <is>
          <t>Instalação</t>
        </is>
      </c>
      <c r="I20" s="15" t="inlineStr">
        <is>
          <t>8 de Palmas IV</t>
        </is>
      </c>
      <c r="J20" s="13" t="inlineStr">
        <is>
          <t>AL08060122</t>
        </is>
      </c>
      <c r="K20" s="15" t="inlineStr">
        <is>
          <t>SE Palmas IV (pelo nome do alimentador)</t>
        </is>
      </c>
      <c r="L20" s="13" t="inlineStr">
        <is>
          <t>não informada</t>
        </is>
      </c>
      <c r="M20" s="13" t="inlineStr">
        <is>
          <t>Chave</t>
        </is>
      </c>
      <c r="N20" s="16" t="inlineStr">
        <is>
          <t>8861680122</t>
        </is>
      </c>
      <c r="O20" s="12" t="n"/>
      <c r="P20" s="17" t="n"/>
      <c r="Q20" s="17" t="n"/>
      <c r="R20" s="18" t="n"/>
      <c r="S20" s="18" t="n"/>
      <c r="T20" s="19" t="n">
        <v>46483</v>
      </c>
      <c r="U20" s="19" t="n">
        <v>46553</v>
      </c>
      <c r="V20" s="15" t="inlineStr">
        <is>
          <t>Religador instalado normalmente aberto (N.A).</t>
        </is>
      </c>
    </row>
    <row r="21" ht="30" customHeight="1">
      <c r="A21" s="4" t="n">
        <v>17</v>
      </c>
      <c r="B21" s="4" t="inlineStr">
        <is>
          <t>Centro</t>
        </is>
      </c>
      <c r="C21" s="5" t="inlineStr">
        <is>
          <t>Palmas</t>
        </is>
      </c>
      <c r="D21" s="4" t="n">
        <v>92102</v>
      </c>
      <c r="E21" s="4" t="inlineStr">
        <is>
          <t>B9</t>
        </is>
      </c>
      <c r="F21" s="4" t="inlineStr">
        <is>
          <t>RL</t>
        </is>
      </c>
      <c r="G21" s="6" t="n">
        <v>13.8</v>
      </c>
      <c r="H21" s="5" t="inlineStr">
        <is>
          <t>Instalação</t>
        </is>
      </c>
      <c r="I21" s="7" t="inlineStr">
        <is>
          <t>6 de Palmas IV</t>
        </is>
      </c>
      <c r="J21" s="5" t="inlineStr">
        <is>
          <t>AL06060122</t>
        </is>
      </c>
      <c r="K21" s="7" t="inlineStr">
        <is>
          <t>SE Palmas IV (pelo nome do alimentador)</t>
        </is>
      </c>
      <c r="L21" s="5" t="inlineStr">
        <is>
          <t>não informada</t>
        </is>
      </c>
      <c r="M21" s="5" t="inlineStr">
        <is>
          <t>Chave</t>
        </is>
      </c>
      <c r="N21" s="8" t="inlineStr">
        <is>
          <t>8803933122</t>
        </is>
      </c>
      <c r="O21" s="4" t="n"/>
      <c r="P21" s="9" t="n"/>
      <c r="Q21" s="9" t="n"/>
      <c r="R21" s="10" t="n"/>
      <c r="S21" s="10" t="n"/>
      <c r="T21" s="11" t="n">
        <v>46486</v>
      </c>
      <c r="U21" s="11" t="n">
        <v>46556</v>
      </c>
      <c r="V21" s="7" t="inlineStr">
        <is>
          <t>Religador instalado normalmente fechado (N.F).</t>
        </is>
      </c>
    </row>
    <row r="22" ht="30" customHeight="1">
      <c r="A22" s="12" t="n">
        <v>18</v>
      </c>
      <c r="B22" s="12" t="inlineStr">
        <is>
          <t>Centro</t>
        </is>
      </c>
      <c r="C22" s="13" t="inlineStr">
        <is>
          <t>Paraíso</t>
        </is>
      </c>
      <c r="D22" s="12" t="n">
        <v>70838</v>
      </c>
      <c r="E22" s="12" t="inlineStr">
        <is>
          <t>B8</t>
        </is>
      </c>
      <c r="F22" s="12" t="inlineStr">
        <is>
          <t>RT</t>
        </is>
      </c>
      <c r="G22" s="14" t="n">
        <v>34.5</v>
      </c>
      <c r="H22" s="13" t="inlineStr">
        <is>
          <t>Instalação</t>
        </is>
      </c>
      <c r="I22" s="15" t="inlineStr">
        <is>
          <t>LD Cristalândia - Lagoa da Confusão</t>
        </is>
      </c>
      <c r="J22" s="13" t="inlineStr">
        <is>
          <t>LD01025012</t>
        </is>
      </c>
      <c r="K22" s="15" t="inlineStr">
        <is>
          <t>SE Cristalândia II</t>
        </is>
      </c>
      <c r="L22" s="13" t="inlineStr">
        <is>
          <t>Anel</t>
        </is>
      </c>
      <c r="M22" s="13" t="inlineStr">
        <is>
          <t>ID EO (poste)</t>
        </is>
      </c>
      <c r="N22" s="16" t="inlineStr">
        <is>
          <t>740431</t>
        </is>
      </c>
      <c r="O22" s="12" t="n"/>
      <c r="P22" s="17" t="n"/>
      <c r="Q22" s="17" t="n"/>
      <c r="R22" s="18" t="n"/>
      <c r="S22" s="18" t="n"/>
      <c r="T22" s="19" t="n">
        <v>46483</v>
      </c>
      <c r="U22" s="19" t="n">
        <v>46553</v>
      </c>
      <c r="V22" s="15" t="inlineStr">
        <is>
          <t>Lado fonte: SE Cristalândia II.</t>
        </is>
      </c>
    </row>
    <row r="23" ht="56" customHeight="1">
      <c r="A23" s="4" t="n">
        <v>19</v>
      </c>
      <c r="B23" s="4" t="inlineStr">
        <is>
          <t>Centro</t>
        </is>
      </c>
      <c r="C23" s="5" t="inlineStr">
        <is>
          <t>Paraíso</t>
        </is>
      </c>
      <c r="D23" s="4" t="n">
        <v>70978</v>
      </c>
      <c r="E23" s="4" t="inlineStr">
        <is>
          <t>B10</t>
        </is>
      </c>
      <c r="F23" s="4" t="inlineStr">
        <is>
          <t>RT</t>
        </is>
      </c>
      <c r="G23" s="6" t="n">
        <v>34.5</v>
      </c>
      <c r="H23" s="5" t="inlineStr">
        <is>
          <t>Instalação</t>
        </is>
      </c>
      <c r="I23" s="7" t="inlineStr">
        <is>
          <t>LD Paraíso I - Caseara</t>
        </is>
      </c>
      <c r="J23" s="5" t="inlineStr">
        <is>
          <t>LD05062013</t>
        </is>
      </c>
      <c r="K23" s="7" t="inlineStr">
        <is>
          <t>SE Paraíso I</t>
        </is>
      </c>
      <c r="L23" s="5" t="inlineStr">
        <is>
          <t>Anel</t>
        </is>
      </c>
      <c r="M23" s="5" t="inlineStr">
        <is>
          <t>Coordenada UTM</t>
        </is>
      </c>
      <c r="N23" s="8" t="inlineStr">
        <is>
          <t>720042.26 E / 8892930.53 S</t>
        </is>
      </c>
      <c r="O23" s="4" t="inlineStr">
        <is>
          <t>22S</t>
        </is>
      </c>
      <c r="P23" s="9" t="n">
        <v>720042.26</v>
      </c>
      <c r="Q23" s="9" t="n">
        <v>8892930.529999999</v>
      </c>
      <c r="R23" s="10" t="n">
        <v>-10.008925</v>
      </c>
      <c r="S23" s="10" t="n">
        <v>-48.992567</v>
      </c>
      <c r="T23" s="11" t="n">
        <v>46486</v>
      </c>
      <c r="U23" s="11" t="n">
        <v>46556</v>
      </c>
      <c r="V23" s="7" t="inlineStr">
        <is>
          <t>Lado fonte: Paraíso do Tocantins; lado carga: Monte Santo. Fuso 22S assumido (a ficha não informa o fuso). Inclui balanceamento de fase (3 ramais) – sem equipamento de comunicação.</t>
        </is>
      </c>
    </row>
    <row r="24" ht="56" customHeight="1">
      <c r="A24" s="12" t="n">
        <v>20</v>
      </c>
      <c r="B24" s="12" t="inlineStr">
        <is>
          <t>Sul</t>
        </is>
      </c>
      <c r="C24" s="13" t="inlineStr">
        <is>
          <t>Gurupi</t>
        </is>
      </c>
      <c r="D24" s="12" t="n">
        <v>89307</v>
      </c>
      <c r="E24" s="12" t="inlineStr">
        <is>
          <t>B13</t>
        </is>
      </c>
      <c r="F24" s="12" t="inlineStr">
        <is>
          <t>RL</t>
        </is>
      </c>
      <c r="G24" s="14" t="n">
        <v>13.8</v>
      </c>
      <c r="H24" s="13" t="inlineStr">
        <is>
          <t>Remanejamento</t>
        </is>
      </c>
      <c r="I24" s="15" t="inlineStr">
        <is>
          <t>AL 1 de Figueirópolis (2FGR)</t>
        </is>
      </c>
      <c r="J24" s="13" t="inlineStr">
        <is>
          <t>AL01033047</t>
        </is>
      </c>
      <c r="K24" s="15" t="inlineStr">
        <is>
          <t>SE Figueirópolis</t>
        </is>
      </c>
      <c r="L24" s="13" t="inlineStr">
        <is>
          <t>não informada</t>
        </is>
      </c>
      <c r="M24" s="13" t="inlineStr">
        <is>
          <t>Chave (destino)</t>
        </is>
      </c>
      <c r="N24" s="16" t="inlineStr">
        <is>
          <t>8857031047</t>
        </is>
      </c>
      <c r="O24" s="12" t="n"/>
      <c r="P24" s="17" t="n"/>
      <c r="Q24" s="17" t="n"/>
      <c r="R24" s="18" t="n"/>
      <c r="S24" s="18" t="n"/>
      <c r="T24" s="19" t="n">
        <v>46542</v>
      </c>
      <c r="U24" s="19" t="n">
        <v>46612</v>
      </c>
      <c r="V24" s="15" t="inlineStr">
        <is>
          <t>Remanejamento do religador existente 7924620047 (automático N.F) para o ponto da chave 8857031047. Local atual do religador: não informado. Manobras: abrir CH 3300005047 e fechar CH 8857031047.</t>
        </is>
      </c>
    </row>
    <row r="25" ht="30" customHeight="1">
      <c r="A25" s="4" t="n">
        <v>21</v>
      </c>
      <c r="B25" s="4" t="inlineStr">
        <is>
          <t>Sul</t>
        </is>
      </c>
      <c r="C25" s="5" t="inlineStr">
        <is>
          <t>Gurupi</t>
        </is>
      </c>
      <c r="D25" s="4" t="n">
        <v>89307</v>
      </c>
      <c r="E25" s="4" t="inlineStr">
        <is>
          <t>B13</t>
        </is>
      </c>
      <c r="F25" s="4" t="inlineStr">
        <is>
          <t>RT</t>
        </is>
      </c>
      <c r="G25" s="6" t="n">
        <v>13.8</v>
      </c>
      <c r="H25" s="5" t="inlineStr">
        <is>
          <t>Instalação</t>
        </is>
      </c>
      <c r="I25" s="7" t="inlineStr">
        <is>
          <t>AL 1 de Figueirópolis (2FGR)</t>
        </is>
      </c>
      <c r="J25" s="5" t="inlineStr">
        <is>
          <t>AL01033047</t>
        </is>
      </c>
      <c r="K25" s="7" t="inlineStr">
        <is>
          <t>SE Figueirópolis</t>
        </is>
      </c>
      <c r="L25" s="5" t="inlineStr">
        <is>
          <t>não informada</t>
        </is>
      </c>
      <c r="M25" s="5" t="inlineStr">
        <is>
          <t>ID EO (poste)</t>
        </is>
      </c>
      <c r="N25" s="8" t="inlineStr">
        <is>
          <t>47712358 (EO 241355)</t>
        </is>
      </c>
      <c r="O25" s="4" t="n"/>
      <c r="P25" s="9" t="n"/>
      <c r="Q25" s="9" t="n"/>
      <c r="R25" s="10" t="n"/>
      <c r="S25" s="10" t="n"/>
      <c r="T25" s="11" t="n">
        <v>46542</v>
      </c>
      <c r="U25" s="11" t="n">
        <v>46612</v>
      </c>
      <c r="V25" s="7" t="inlineStr">
        <is>
          <t>Lado fonte: SE Figueirópolis; lado carga: chave 3100881036.</t>
        </is>
      </c>
    </row>
    <row r="26" ht="30" customHeight="1">
      <c r="A26" s="12" t="n">
        <v>22</v>
      </c>
      <c r="B26" s="12" t="inlineStr">
        <is>
          <t>Sul</t>
        </is>
      </c>
      <c r="C26" s="13" t="inlineStr">
        <is>
          <t>Gurupi</t>
        </is>
      </c>
      <c r="D26" s="12" t="n">
        <v>91979</v>
      </c>
      <c r="E26" s="12" t="inlineStr">
        <is>
          <t>B12</t>
        </is>
      </c>
      <c r="F26" s="12" t="inlineStr">
        <is>
          <t>RL</t>
        </is>
      </c>
      <c r="G26" s="14" t="n">
        <v>34.5</v>
      </c>
      <c r="H26" s="13" t="inlineStr">
        <is>
          <t>Instalação</t>
        </is>
      </c>
      <c r="I26" s="15" t="inlineStr">
        <is>
          <t>LD Gurupi - Dueré (religador rural)</t>
        </is>
      </c>
      <c r="J26" s="13" t="inlineStr">
        <is>
          <t>não informado</t>
        </is>
      </c>
      <c r="K26" s="15" t="inlineStr">
        <is>
          <t>não informado</t>
        </is>
      </c>
      <c r="L26" s="13" t="inlineStr">
        <is>
          <t>não informada</t>
        </is>
      </c>
      <c r="M26" s="13" t="inlineStr">
        <is>
          <t>Chave</t>
        </is>
      </c>
      <c r="N26" s="16" t="inlineStr">
        <is>
          <t>3300246076</t>
        </is>
      </c>
      <c r="O26" s="12" t="n"/>
      <c r="P26" s="17" t="n"/>
      <c r="Q26" s="17" t="n"/>
      <c r="R26" s="18" t="n"/>
      <c r="S26" s="18" t="n"/>
      <c r="T26" s="19" t="n">
        <v>46483</v>
      </c>
      <c r="U26" s="19" t="n">
        <v>46553</v>
      </c>
      <c r="V26" s="15" t="inlineStr">
        <is>
          <t>Religador rural. Os 3 TripSavers deste SIGCO constam na aba "TripSaver".</t>
        </is>
      </c>
    </row>
    <row r="28">
      <c r="A28" s="20" t="inlineStr">
        <is>
          <t>Totais</t>
        </is>
      </c>
    </row>
    <row r="29">
      <c r="B29" s="20" t="inlineStr">
        <is>
          <t>RL</t>
        </is>
      </c>
      <c r="C29" s="20">
        <f>COUNTIF(F5:F26,"RL")</f>
        <v/>
      </c>
    </row>
    <row r="30">
      <c r="B30" s="20" t="inlineStr">
        <is>
          <t>RT</t>
        </is>
      </c>
      <c r="C30" s="20">
        <f>COUNTIF(F5:F26,"RT")</f>
        <v/>
      </c>
    </row>
    <row r="31">
      <c r="B31" s="20" t="inlineStr">
        <is>
          <t>Total</t>
        </is>
      </c>
      <c r="C31" s="20">
        <f>C29+C30</f>
        <v/>
      </c>
    </row>
  </sheetData>
  <autoFilter ref="A4:V26"/>
  <mergeCells count="1">
    <mergeCell ref="A2:W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8" customWidth="1" min="5" max="5"/>
    <col width="30" customWidth="1" min="6" max="6"/>
    <col width="16" customWidth="1" min="7" max="7"/>
    <col width="18" customWidth="1" min="8" max="8"/>
  </cols>
  <sheetData>
    <row r="1">
      <c r="A1" s="21" t="inlineStr">
        <is>
          <t>TripSavers (religador monofásico) – SIGCO 91979 – informados apenas para completude (sem telecomando; fora do estudo de comunicação)</t>
        </is>
      </c>
    </row>
    <row r="3">
      <c r="A3" s="3" t="inlineStr">
        <is>
          <t>Nº</t>
        </is>
      </c>
      <c r="B3" s="3" t="inlineStr">
        <is>
          <t>Regional</t>
        </is>
      </c>
      <c r="C3" s="3" t="inlineStr">
        <is>
          <t>Polo (validar com COCM)</t>
        </is>
      </c>
      <c r="D3" s="3" t="inlineStr">
        <is>
          <t>SIGCO</t>
        </is>
      </c>
      <c r="E3" s="3" t="inlineStr">
        <is>
          <t>Bloco</t>
        </is>
      </c>
      <c r="F3" s="3" t="inlineStr">
        <is>
          <t>Projeto / alimentador</t>
        </is>
      </c>
      <c r="G3" s="3" t="inlineStr">
        <is>
          <t>Tipo de referência</t>
        </is>
      </c>
      <c r="H3" s="3" t="inlineStr">
        <is>
          <t>Ponto de referência</t>
        </is>
      </c>
    </row>
    <row r="4">
      <c r="A4" s="22" t="n">
        <v>1</v>
      </c>
      <c r="B4" s="22" t="inlineStr">
        <is>
          <t>Sul</t>
        </is>
      </c>
      <c r="C4" s="22" t="inlineStr">
        <is>
          <t>Gurupi</t>
        </is>
      </c>
      <c r="D4" s="22" t="n">
        <v>91979</v>
      </c>
      <c r="E4" s="22" t="inlineStr">
        <is>
          <t>B12</t>
        </is>
      </c>
      <c r="F4" s="23" t="inlineStr">
        <is>
          <t>LD Gurupi - Dueré</t>
        </is>
      </c>
      <c r="G4" s="22" t="inlineStr">
        <is>
          <t>Chave</t>
        </is>
      </c>
      <c r="H4" s="24" t="inlineStr">
        <is>
          <t>0300839076</t>
        </is>
      </c>
    </row>
    <row r="5">
      <c r="A5" s="22" t="n">
        <v>2</v>
      </c>
      <c r="B5" s="22" t="inlineStr">
        <is>
          <t>Sul</t>
        </is>
      </c>
      <c r="C5" s="22" t="inlineStr">
        <is>
          <t>Gurupi</t>
        </is>
      </c>
      <c r="D5" s="22" t="n">
        <v>91979</v>
      </c>
      <c r="E5" s="22" t="inlineStr">
        <is>
          <t>B12</t>
        </is>
      </c>
      <c r="F5" s="23" t="inlineStr">
        <is>
          <t>LD Gurupi - Dueré</t>
        </is>
      </c>
      <c r="G5" s="22" t="inlineStr">
        <is>
          <t>Chave</t>
        </is>
      </c>
      <c r="H5" s="24" t="inlineStr">
        <is>
          <t>3319901076</t>
        </is>
      </c>
    </row>
    <row r="6">
      <c r="A6" s="22" t="n">
        <v>3</v>
      </c>
      <c r="B6" s="22" t="inlineStr">
        <is>
          <t>Sul</t>
        </is>
      </c>
      <c r="C6" s="22" t="inlineStr">
        <is>
          <t>Gurupi</t>
        </is>
      </c>
      <c r="D6" s="22" t="n">
        <v>91979</v>
      </c>
      <c r="E6" s="22" t="inlineStr">
        <is>
          <t>B12</t>
        </is>
      </c>
      <c r="F6" s="23" t="inlineStr">
        <is>
          <t>LD Gurupi - Dueré</t>
        </is>
      </c>
      <c r="G6" s="22" t="inlineStr">
        <is>
          <t>Chave</t>
        </is>
      </c>
      <c r="H6" s="24" t="inlineStr">
        <is>
          <t>3310406076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5" t="inlineStr">
        <is>
          <t>Notas e premissas</t>
        </is>
      </c>
    </row>
    <row r="2" ht="32" customHeight="1">
      <c r="A2" s="26" t="inlineStr">
        <is>
          <t>1. Cada linha da aba RL_RT é um ponto de instalação (um equipamento). Os 3 TripSavers do SIGCO 91979 estão na aba TripSaver (não possuem telecomando).</t>
        </is>
      </c>
    </row>
    <row r="3" ht="32" customHeight="1">
      <c r="A3" s="26" t="inlineStr">
        <is>
          <t>2. Ponto de referência: ID EO (poste/elemento), código de chave ou coordenada UTM, conforme consta nas fichas dos projetos 2027. As fichas trazem coordenadas apenas para o RT do SIGCO 70978; para os demais pontos use o ID EO / chave no GIS para obter as coordenadas.</t>
        </is>
      </c>
    </row>
    <row r="4" ht="32" customHeight="1">
      <c r="A4" s="26" t="inlineStr">
        <is>
          <t>3. Coordenadas UTM: SIGCO 70978 – a ficha não informa o fuso; adotado 22S (Paraíso do Tocantins) e datum SIRGAS 2000. Latitude/longitude calculadas por conversão UTM→geográfica (GRS80) e servem como referência; confirmar com a base GIS.</t>
        </is>
      </c>
    </row>
    <row r="5" ht="32" customHeight="1">
      <c r="A5" s="26" t="inlineStr">
        <is>
          <t>4. "Polo" e "Regional" definidos pela localização dos alimentadores (Norte: Araguaína; Centro: Palmas e Paraíso; Sul: Gurupi) – validar com a coordenação COCM.</t>
        </is>
      </c>
    </row>
    <row r="6" ht="32" customHeight="1">
      <c r="A6" s="26" t="inlineStr">
        <is>
          <t>5. "não informado / não informada": dado não consta nas fichas (cód. de alimentador, SE fonte ou topologia). A topologia (Anel) só está explícita nas fichas dos SIGCOs 70838 e 70978. Onde a SE fonte foi inferida do nome do alimentador, está indicado na própria célula.</t>
        </is>
      </c>
    </row>
    <row r="7" ht="32" customHeight="1">
      <c r="A7" s="26" t="inlineStr">
        <is>
          <t>6. Datas: início da execução e operação prevista do bloco, conforme cronograma WBS (v3) – equipamentos disponíveis somente após 05/04/2027. Podem ser usadas como prazo para a entrega do estudo de comunicação.</t>
        </is>
      </c>
    </row>
    <row r="8" ht="32" customHeight="1">
      <c r="A8" s="26" t="inlineStr">
        <is>
          <t>7. Remanejamento (SIGCO 89307): o religador existente 7924620047 (automático N.F, 13,8 kV) será levado para o ponto da chave 8857031047; o ponto listado é o destino.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2026-10-29T18:59:00Z</dcterms:created>
  <dcterms:modified xmlns:dcterms="http://purl.org/dc/terms/" xmlns:xsi="http://www.w3.org/2001/XMLSchema-instance" xsi:type="dcterms:W3CDTF">2026-10-29T18:59:00Z</dcterms:modified>
</cp:coreProperties>
</file>